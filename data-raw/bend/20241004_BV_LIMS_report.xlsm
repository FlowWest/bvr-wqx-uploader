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mc:AlternateContent xmlns:mc="http://schemas.openxmlformats.org/markup-compatibility/2006">
    <mc:Choice Requires="x15">
      <x15ac:absPath xmlns:x15ac="http://schemas.microsoft.com/office/spreadsheetml/2010/11/ac" url="https://bendgenetics-my.sharepoint.com/personal/ottentim_bendgenetics_onmicrosoft_com/Documents/Bend Genetics/Customers/Big Valley/20241004/"/>
    </mc:Choice>
  </mc:AlternateContent>
  <xr:revisionPtr revIDLastSave="1" documentId="8_{C31E2F19-1128-4CBD-B6DF-3AA88858C047}" xr6:coauthVersionLast="47" xr6:coauthVersionMax="47" xr10:uidLastSave="{F106B6AA-EDDF-46C7-A2A5-672F7824BFE3}"/>
  <bookViews>
    <workbookView xWindow="-120" yWindow="-120" windowWidth="29040" windowHeight="15720" xr2:uid="{00000000-000D-0000-FFFF-FFFF00000000}"/>
  </bookViews>
  <sheets>
    <sheet name="Sample1" sheetId="5" r:id="rId1"/>
    <sheet name="Sample2" sheetId="14" r:id="rId2"/>
    <sheet name="Sample3" sheetId="15" r:id="rId3"/>
    <sheet name="Sample4" sheetId="16" r:id="rId4"/>
    <sheet name="Sample5" sheetId="17" r:id="rId5"/>
    <sheet name="Sample6" sheetId="18" r:id="rId6"/>
    <sheet name="Sample7" sheetId="19" r:id="rId7"/>
    <sheet name="Sample8" sheetId="20" r:id="rId8"/>
    <sheet name="Sample9" sheetId="21" r:id="rId9"/>
    <sheet name="Sample10" sheetId="22" r:id="rId10"/>
    <sheet name="Sample11" sheetId="23" r:id="rId11"/>
    <sheet name="Sample12" sheetId="24" r:id="rId12"/>
    <sheet name="QC" sheetId="8" r:id="rId13"/>
    <sheet name="LIMSData" sheetId="2" r:id="rId14"/>
    <sheet name="AnalysisData" sheetId="3" r:id="rId15"/>
    <sheet name="QCData" sheetId="9" r:id="rId16"/>
    <sheet name="Customer" sheetId="4" r:id="rId17"/>
    <sheet name="Settings" sheetId="6" r:id="rId18"/>
    <sheet name="Doc History" sheetId="13" r:id="rId19"/>
    <sheet name="Read Me" sheetId="7" r:id="rId20"/>
  </sheets>
  <functionGroups builtInGroupCount="19"/>
  <definedNames>
    <definedName name="Abbreviation">AnalysisData!$Y$2:$Y$19</definedName>
    <definedName name="Account">AnalysisData!$AE$2:$AE$19</definedName>
    <definedName name="AddedDate">LIMSData!$O$2:$O$13</definedName>
    <definedName name="AddedDateSort">LIMSData!$AM$2:$AM$13</definedName>
    <definedName name="AddedUser">LIMSData!$Q$2:$Q$13</definedName>
    <definedName name="Analysis.SortOrder">AnalysisData!$AG$2:$AG$19</definedName>
    <definedName name="AnalysisDate">AnalysisData!$E$2:$E$19</definedName>
    <definedName name="AnalysisID">AnalysisData!$O$2:$O$19</definedName>
    <definedName name="AnalysisResult">AnalysisData!$D$2:$D$19</definedName>
    <definedName name="AnalysisResultFormatted">AnalysisData!$AB$2:$AB$19</definedName>
    <definedName name="AnalysisSampleID">AnalysisData!$A$2:$A$19</definedName>
    <definedName name="AnalysisTime">AnalysisData!$F$2:$F$19</definedName>
    <definedName name="Analyte">AnalysisData!$X$2:$X$19</definedName>
    <definedName name="AnalyteReportName">AnalysisData!$B$2:$B$19</definedName>
    <definedName name="AnalyticalBatchID">AnalysisData!$R$2:$R$19</definedName>
    <definedName name="Batch">LIMSData!$AC$2:$AC$13</definedName>
    <definedName name="CollectedDate">LIMSData!$I$2:$I$13</definedName>
    <definedName name="CollectedDateTime">LIMSData!$AL$2:$AL$13</definedName>
    <definedName name="CollectedTime">LIMSData!$J$2:$J$13</definedName>
    <definedName name="CompletedDate">LIMSData!$M$2:$M$13</definedName>
    <definedName name="ComputerName" localSheetId="14">AnalysisData!$AK$2:$AK$19</definedName>
    <definedName name="ComputerName">LIMSData!$AQ$2:$AQ$13</definedName>
    <definedName name="Conclusions">LIMSData!$S$2:$S$13</definedName>
    <definedName name="Cost">AnalysisData!$P$2:$P$19</definedName>
    <definedName name="Customer.Name">LIMSData!$AI$2:$AI$13</definedName>
    <definedName name="CustomerID">LIMSData!$U$2:$U$13</definedName>
    <definedName name="CustomerMailingLabel">Customer!$D$2</definedName>
    <definedName name="CustomerSampleID">LIMSData!$V$2:$V$13</definedName>
    <definedName name="Description">LIMSData!$AB$2:$AB$13</definedName>
    <definedName name="DilutionFactor">AnalysisData!$T$2:$T$19</definedName>
    <definedName name="DueDate">LIMSData!$W$2:$W$13</definedName>
    <definedName name="ExcludeInternalData">Settings!$B$3</definedName>
    <definedName name="FormName" localSheetId="14">AnalysisData!$AI$2:$AI$19</definedName>
    <definedName name="FormName">LIMSData!$AO$2:$AO$13</definedName>
    <definedName name="Initials">LIMSData!$AK$2:$AK$13</definedName>
    <definedName name="InternalData">AnalysisData!$AD$2:$AD$19</definedName>
    <definedName name="Invoice">LIMSData!$AE$2:$AE$13</definedName>
    <definedName name="InvoiceDate">LIMSData!$AF$2:$AF$13</definedName>
    <definedName name="Laboratory.Name">AnalysisData!$W$2:$W$19</definedName>
    <definedName name="LaboratoryID">AnalysisData!$H$2:$H$19</definedName>
    <definedName name="LinkedDocument">LIMSData!$AD$2:$AD$13</definedName>
    <definedName name="Location.Name">LIMSData!$C$2:$C$13</definedName>
    <definedName name="LocationID">LIMSData!$R$2:$R$13</definedName>
    <definedName name="Method.Name">AnalysisData!$AH$2:$AH$19</definedName>
    <definedName name="MinDetectLimit">AnalysisData!$AA$2:$AA$19</definedName>
    <definedName name="Notes">LIMSData!$K$2:$K$13</definedName>
    <definedName name="OneAnalysisResults" localSheetId="9">Sample10!$B$12:$J$12</definedName>
    <definedName name="OneAnalysisResults" localSheetId="10">Sample11!$B$12:$J$12</definedName>
    <definedName name="OneAnalysisResults" localSheetId="11">Sample12!$B$12:$J$12</definedName>
    <definedName name="OneAnalysisResults" localSheetId="1">Sample2!$B$12:$J$12</definedName>
    <definedName name="OneAnalysisResults" localSheetId="2">Sample3!$B$12:$J$12</definedName>
    <definedName name="OneAnalysisResults" localSheetId="3">Sample4!$B$12:$J$12</definedName>
    <definedName name="OneAnalysisResults" localSheetId="4">Sample5!$B$12:$J$12</definedName>
    <definedName name="OneAnalysisResults" localSheetId="5">Sample6!$B$12:$J$12</definedName>
    <definedName name="OneAnalysisResults" localSheetId="6">Sample7!$B$12:$J$12</definedName>
    <definedName name="OneAnalysisResults" localSheetId="7">Sample8!$B$12:$J$12</definedName>
    <definedName name="OneAnalysisResults" localSheetId="8">Sample9!$B$12:$J$12</definedName>
    <definedName name="OneAnalysisResults">Sample1!$B$12:$J$12</definedName>
    <definedName name="OneQCResults">QC!$A$12:$L$12</definedName>
    <definedName name="OneSummaryResults">#REF!</definedName>
    <definedName name="PerformedInhouse">AnalysisData!$G$2:$G$19</definedName>
    <definedName name="PreventScreenUpdating">Settings!$B$2</definedName>
    <definedName name="Project.Name">LIMSData!$A$2:$A$13</definedName>
    <definedName name="ProjectID">LIMSData!$F$2:$F$13</definedName>
    <definedName name="PurchaseOrder">LIMSData!$AG$2:$AG$13</definedName>
    <definedName name="QCAnalyte">QCData!$B$2:$B$226</definedName>
    <definedName name="QCAnalyteQCType">QCData!$A$2:$A$226</definedName>
    <definedName name="QCAnalyticalBatchID">QCData!$L$2:$L$226</definedName>
    <definedName name="QCDataLookup">QCData!$A$1:$N$226</definedName>
    <definedName name="QCPreRec">QCData!$N$2:$N$226</definedName>
    <definedName name="QCReferenceName">QCData!$I$2:$I$226</definedName>
    <definedName name="QCReferenceUnits">QCData!$J$2:$J$226</definedName>
    <definedName name="QCReferenceValue">QCData!$H$2:$H$226</definedName>
    <definedName name="QCRelatedSampleID">QCData!$M$2:$M$226</definedName>
    <definedName name="QCResultFormatted">QCData!$D$2:$D$226</definedName>
    <definedName name="QCResultName">QCData!$F$2:$F$226</definedName>
    <definedName name="QCResultUnits">QCData!$G$2:$G$226</definedName>
    <definedName name="QCResultValue">QCData!$E$2:$E$226</definedName>
    <definedName name="QCTechnician">QCData!$K$2:$K$226</definedName>
    <definedName name="QCType">QCData!$C$2:$C$226</definedName>
    <definedName name="QualityControl">LIMSData!$T$2:$T$13</definedName>
    <definedName name="ReceivedDate">LIMSData!$X$2:$X$13</definedName>
    <definedName name="ReceivedTime">LIMSData!$Y$2:$Y$13</definedName>
    <definedName name="RemoveInfrastructure">Settings!$B$1</definedName>
    <definedName name="ReportedDate">LIMSData!$AA$2:$AA$13</definedName>
    <definedName name="ReportName" localSheetId="14">AnalysisData!$Z$2:$Z$19</definedName>
    <definedName name="ReportName">LIMSData!$AJ$2:$AJ$13</definedName>
    <definedName name="ReportSpecs">AnalysisData!$U$2:$U$19</definedName>
    <definedName name="Requirement.Name">AnalysisData!$AC$2:$AC$19</definedName>
    <definedName name="Requirement.SortOrder">AnalysisData!$AF$2:$AF$19</definedName>
    <definedName name="RequirementID">AnalysisData!$I$2:$I$19</definedName>
    <definedName name="ResultMax">AnalysisData!$J$2:$J$19</definedName>
    <definedName name="ResultMin">AnalysisData!$N$2:$N$19</definedName>
    <definedName name="ResultTypeID">AnalysisData!$Q$2:$Q$19</definedName>
    <definedName name="SampleAnalysisID">AnalysisData!$C$2:$C$19</definedName>
    <definedName name="SampleID">LIMSData!$E$2:$E$13</definedName>
    <definedName name="Sampler">LIMSData!$D$2:$D$13</definedName>
    <definedName name="SamplerID">LIMSData!$G$2:$G$13</definedName>
    <definedName name="SampleStatus">LIMSData!$L$2:$L$13</definedName>
    <definedName name="SampleStatusName">LIMSData!$AN$2:$AN$13</definedName>
    <definedName name="SampleType.Name">LIMSData!$B$2:$B$13</definedName>
    <definedName name="SampleTypeID">LIMSData!$H$2:$H$13</definedName>
    <definedName name="SSMA_TimeStamp" localSheetId="14">AnalysisData!$V$2:$V$19</definedName>
    <definedName name="SSMA_TimeStamp">LIMSData!$AH$2:$AH$13</definedName>
    <definedName name="StartedDate">LIMSData!$Z$2:$Z$13</definedName>
    <definedName name="TargetValue">AnalysisData!$L$2:$L$19</definedName>
    <definedName name="Technician">AnalysisData!$S$2:$S$19</definedName>
    <definedName name="UpdatedDate">LIMSData!$N$2:$N$13</definedName>
    <definedName name="UpdatedUser">LIMSData!$P$2:$P$13</definedName>
    <definedName name="UserName" localSheetId="14">AnalysisData!$AJ$2:$AJ$19</definedName>
    <definedName name="UserName">LIMSData!$AP$2:$AP$13</definedName>
    <definedName name="WarningMax">AnalysisData!$K$2:$K$19</definedName>
    <definedName name="WarningMin">AnalysisData!$M$2:$M$19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1" i="9" l="1"/>
  <c r="A50" i="9"/>
  <c r="A49" i="9"/>
  <c r="A48" i="9"/>
  <c r="A47" i="9"/>
  <c r="A46" i="9"/>
  <c r="A45" i="9"/>
  <c r="A44" i="9"/>
  <c r="A43" i="9"/>
  <c r="A42" i="9"/>
  <c r="A41" i="9"/>
  <c r="A40" i="9"/>
  <c r="A39" i="9"/>
  <c r="A38" i="9"/>
  <c r="A37" i="9"/>
  <c r="A36" i="9"/>
  <c r="A35" i="9"/>
  <c r="A34" i="9"/>
  <c r="A33" i="9"/>
  <c r="A32" i="9"/>
  <c r="A31" i="9"/>
  <c r="A30" i="9"/>
  <c r="A29" i="9"/>
  <c r="A28" i="9"/>
  <c r="A27" i="9"/>
  <c r="A26" i="9"/>
  <c r="A25" i="9"/>
  <c r="A24" i="9"/>
  <c r="A23" i="9"/>
  <c r="A22" i="9"/>
  <c r="A21" i="9"/>
  <c r="A20" i="9"/>
  <c r="A19" i="9"/>
  <c r="A18" i="9"/>
  <c r="A17" i="9"/>
  <c r="A16" i="9"/>
  <c r="A15" i="9"/>
  <c r="A14" i="9"/>
  <c r="A13" i="9"/>
  <c r="A12" i="9"/>
  <c r="A11" i="9"/>
  <c r="A10" i="9"/>
  <c r="A9" i="9"/>
  <c r="A8" i="9"/>
  <c r="A7" i="9"/>
  <c r="A6" i="9"/>
  <c r="A5" i="9"/>
  <c r="A4" i="9"/>
  <c r="A3" i="9"/>
  <c r="B7" i="24"/>
  <c r="B7" i="23"/>
  <c r="B7" i="22"/>
  <c r="B7" i="21"/>
  <c r="B7" i="20"/>
  <c r="B7" i="19"/>
  <c r="B7" i="18"/>
  <c r="B7" i="17"/>
  <c r="B7" i="16"/>
  <c r="B7" i="15"/>
  <c r="B7" i="14"/>
  <c r="B3" i="8"/>
  <c r="B7" i="5"/>
  <c r="B4" i="8"/>
  <c r="F3" i="13"/>
  <c r="H3" i="8"/>
  <c r="A2" i="9"/>
  <c r="D19" i="4"/>
  <c r="D11" i="4"/>
  <c r="A1" i="20"/>
  <c r="A1" i="24"/>
  <c r="A1" i="22"/>
  <c r="A1" i="23"/>
  <c r="A1" i="19"/>
  <c r="A1" i="21"/>
  <c r="A1" i="18"/>
  <c r="A1" i="17"/>
  <c r="A1" i="16"/>
  <c r="A1" i="15"/>
  <c r="A1" i="14"/>
  <c r="A1" i="5"/>
  <c r="D2" i="4" l="1"/>
  <c r="E4" i="24"/>
  <c r="B4" i="24"/>
  <c r="E8" i="24"/>
  <c r="E6" i="24"/>
  <c r="E3" i="24"/>
  <c r="B1" i="24"/>
  <c r="A13" i="24" s="1"/>
  <c r="B3" i="24"/>
  <c r="B6" i="24"/>
  <c r="E5" i="24"/>
  <c r="B5" i="24"/>
  <c r="E4" i="23"/>
  <c r="B4" i="23"/>
  <c r="E3" i="23"/>
  <c r="B3" i="23"/>
  <c r="B1" i="23"/>
  <c r="E8" i="23"/>
  <c r="E6" i="23"/>
  <c r="B6" i="23"/>
  <c r="E5" i="23"/>
  <c r="B5" i="23"/>
  <c r="E4" i="22"/>
  <c r="B4" i="22"/>
  <c r="E3" i="22"/>
  <c r="B5" i="22"/>
  <c r="B3" i="22"/>
  <c r="B1" i="22"/>
  <c r="E8" i="22"/>
  <c r="E6" i="22"/>
  <c r="B6" i="22"/>
  <c r="E5" i="22"/>
  <c r="E4" i="21"/>
  <c r="E6" i="21"/>
  <c r="B6" i="21"/>
  <c r="E5" i="21"/>
  <c r="B4" i="21"/>
  <c r="E3" i="21"/>
  <c r="E8" i="21"/>
  <c r="B5" i="21"/>
  <c r="B3" i="21"/>
  <c r="B1" i="21"/>
  <c r="E4" i="20"/>
  <c r="E8" i="20"/>
  <c r="B4" i="20"/>
  <c r="E3" i="20"/>
  <c r="B6" i="20"/>
  <c r="B3" i="20"/>
  <c r="B1" i="20"/>
  <c r="E6" i="20"/>
  <c r="E5" i="20"/>
  <c r="B5" i="20"/>
  <c r="E4" i="19"/>
  <c r="B4" i="19"/>
  <c r="E3" i="19"/>
  <c r="E8" i="19"/>
  <c r="E5" i="19"/>
  <c r="B5" i="19"/>
  <c r="B3" i="19"/>
  <c r="B1" i="19"/>
  <c r="E6" i="19"/>
  <c r="B6" i="19"/>
  <c r="E4" i="18"/>
  <c r="E3" i="18"/>
  <c r="B6" i="18"/>
  <c r="B3" i="18"/>
  <c r="B1" i="18"/>
  <c r="A13" i="18" s="1"/>
  <c r="E8" i="18"/>
  <c r="E6" i="18"/>
  <c r="E5" i="18"/>
  <c r="B5" i="18"/>
  <c r="B4" i="18"/>
  <c r="E4" i="17"/>
  <c r="B4" i="17"/>
  <c r="E3" i="17"/>
  <c r="B6" i="17"/>
  <c r="B3" i="17"/>
  <c r="B1" i="17"/>
  <c r="E8" i="17"/>
  <c r="E6" i="17"/>
  <c r="E5" i="17"/>
  <c r="B5" i="17"/>
  <c r="E4" i="16"/>
  <c r="B4" i="16"/>
  <c r="E3" i="16"/>
  <c r="E6" i="16"/>
  <c r="B6" i="16"/>
  <c r="E5" i="16"/>
  <c r="B3" i="16"/>
  <c r="B1" i="16"/>
  <c r="E8" i="16"/>
  <c r="B5" i="16"/>
  <c r="E3" i="15"/>
  <c r="B3" i="15"/>
  <c r="E6" i="15"/>
  <c r="E5" i="15"/>
  <c r="B1" i="15"/>
  <c r="A13" i="15" s="1"/>
  <c r="E8" i="15"/>
  <c r="B6" i="15"/>
  <c r="B5" i="15"/>
  <c r="E4" i="15"/>
  <c r="B4" i="15"/>
  <c r="E4" i="14"/>
  <c r="B4" i="14"/>
  <c r="E8" i="14"/>
  <c r="E6" i="14"/>
  <c r="E3" i="14"/>
  <c r="B3" i="14"/>
  <c r="B1" i="14"/>
  <c r="E5" i="14"/>
  <c r="B6" i="14"/>
  <c r="B5" i="14"/>
  <c r="E6" i="5"/>
  <c r="E3" i="5"/>
  <c r="B5" i="5"/>
  <c r="E4" i="5"/>
  <c r="B6" i="5"/>
  <c r="E5" i="5"/>
  <c r="B1" i="5"/>
  <c r="D12" i="5" s="1"/>
  <c r="B3" i="5"/>
  <c r="B4" i="5"/>
  <c r="E8" i="5"/>
  <c r="A13" i="19" l="1"/>
  <c r="A14" i="19"/>
  <c r="A15" i="19"/>
  <c r="E13" i="24"/>
  <c r="D13" i="24"/>
  <c r="C13" i="24"/>
  <c r="B13" i="24"/>
  <c r="E15" i="19"/>
  <c r="D15" i="19"/>
  <c r="C15" i="19"/>
  <c r="E14" i="19"/>
  <c r="D14" i="19"/>
  <c r="C14" i="19"/>
  <c r="B14" i="19"/>
  <c r="B15" i="19"/>
  <c r="E13" i="19"/>
  <c r="C13" i="19"/>
  <c r="D13" i="19"/>
  <c r="B13" i="19"/>
  <c r="B13" i="18"/>
  <c r="E13" i="18"/>
  <c r="D13" i="18"/>
  <c r="C13" i="18"/>
  <c r="C13" i="15"/>
  <c r="B13" i="15"/>
  <c r="E13" i="15"/>
  <c r="D13" i="15"/>
  <c r="E12" i="24"/>
  <c r="D12" i="24"/>
  <c r="B12" i="24"/>
  <c r="C12" i="24"/>
  <c r="A12" i="24"/>
  <c r="C12" i="23"/>
  <c r="B12" i="23"/>
  <c r="A12" i="23"/>
  <c r="E12" i="23"/>
  <c r="D12" i="23"/>
  <c r="E12" i="22"/>
  <c r="D12" i="22"/>
  <c r="C12" i="22"/>
  <c r="B12" i="22"/>
  <c r="A12" i="22"/>
  <c r="E12" i="21"/>
  <c r="D12" i="21"/>
  <c r="C12" i="21"/>
  <c r="B12" i="21"/>
  <c r="A12" i="21"/>
  <c r="E12" i="20"/>
  <c r="D12" i="20"/>
  <c r="C12" i="20"/>
  <c r="B12" i="20"/>
  <c r="A12" i="20"/>
  <c r="E12" i="19"/>
  <c r="D12" i="19"/>
  <c r="C12" i="19"/>
  <c r="B12" i="19"/>
  <c r="A12" i="19"/>
  <c r="D12" i="18"/>
  <c r="C12" i="18"/>
  <c r="B12" i="18"/>
  <c r="A12" i="18"/>
  <c r="E12" i="18"/>
  <c r="E12" i="17"/>
  <c r="D12" i="17"/>
  <c r="C12" i="17"/>
  <c r="B12" i="17"/>
  <c r="A12" i="17"/>
  <c r="E12" i="16"/>
  <c r="D12" i="16"/>
  <c r="C12" i="16"/>
  <c r="B12" i="16"/>
  <c r="A12" i="16"/>
  <c r="E12" i="15"/>
  <c r="D12" i="15"/>
  <c r="C12" i="15"/>
  <c r="B12" i="15"/>
  <c r="A12" i="15"/>
  <c r="E12" i="14"/>
  <c r="D12" i="14"/>
  <c r="C12" i="14"/>
  <c r="A12" i="14"/>
  <c r="B12" i="14"/>
  <c r="C12" i="5"/>
  <c r="B12" i="5"/>
  <c r="A12" i="5"/>
  <c r="E1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Rick Collard</author>
  </authors>
  <commentList>
    <comment ref="A1" authorId="0" shapeId="0" xr:uid="{00000000-0006-0000-0000-000001000000}">
      <text>
        <r>
          <rPr>
            <sz val="9"/>
            <color indexed="81"/>
            <rFont val="Tahoma"/>
            <family val="2"/>
          </rPr>
          <t>This cell's formula returns the index of the sheet's sample on the LIMSData sheet using the user-defined function SheetNumber.  Resize or hide the row so it does not print.</t>
        </r>
      </text>
    </comment>
    <comment ref="B1" authorId="0" shapeId="0" xr:uid="{00000000-0006-0000-0000-000002000000}">
      <text>
        <r>
          <rPr>
            <sz val="9"/>
            <color indexed="81"/>
            <rFont val="Tahoma"/>
            <family val="2"/>
          </rPr>
          <t>This cell's value is this first row on the AnalysisData sheet with data for this sheet's sample.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Rick Collard</author>
  </authors>
  <commentList>
    <comment ref="A1" authorId="0" shapeId="0" xr:uid="{1C7C3394-328E-47B1-968E-F79DD2CF1C6A}">
      <text>
        <r>
          <rPr>
            <sz val="9"/>
            <color indexed="81"/>
            <rFont val="Tahoma"/>
            <family val="2"/>
          </rPr>
          <t>This cell's formula returns the index of the sheet's sample on the LIMSData sheet using the user-defined function SheetNumber.  Resize or hide the row so it does not print.</t>
        </r>
      </text>
    </comment>
    <comment ref="B1" authorId="0" shapeId="0" xr:uid="{A24BBAD9-A4AF-42DF-9311-7E42C2ED2A39}">
      <text>
        <r>
          <rPr>
            <sz val="9"/>
            <color indexed="81"/>
            <rFont val="Tahoma"/>
            <family val="2"/>
          </rPr>
          <t>This cell's value is this first row on the AnalysisData sheet with data for this sheet's sample.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Rick Collard</author>
  </authors>
  <commentList>
    <comment ref="A1" authorId="0" shapeId="0" xr:uid="{277A8D9B-9413-49A3-8EDA-94D8A0A3902B}">
      <text>
        <r>
          <rPr>
            <sz val="9"/>
            <color indexed="81"/>
            <rFont val="Tahoma"/>
            <family val="2"/>
          </rPr>
          <t>This cell's formula returns the index of the sheet's sample on the LIMSData sheet using the user-defined function SheetNumber.  Resize or hide the row so it does not print.</t>
        </r>
      </text>
    </comment>
    <comment ref="B1" authorId="0" shapeId="0" xr:uid="{C7CAAF19-04D2-4B2C-92BF-9420D5AAEB79}">
      <text>
        <r>
          <rPr>
            <sz val="9"/>
            <color indexed="81"/>
            <rFont val="Tahoma"/>
            <family val="2"/>
          </rPr>
          <t>This cell's value is this first row on the AnalysisData sheet with data for this sheet's sample.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Rick Collard</author>
  </authors>
  <commentList>
    <comment ref="A1" authorId="0" shapeId="0" xr:uid="{F365DA54-00A0-4A66-A5A3-BA563041DC60}">
      <text>
        <r>
          <rPr>
            <sz val="9"/>
            <color indexed="81"/>
            <rFont val="Tahoma"/>
            <family val="2"/>
          </rPr>
          <t>This cell's formula returns the index of the sheet's sample on the LIMSData sheet using the user-defined function SheetNumber.  Resize or hide the row so it does not print.</t>
        </r>
      </text>
    </comment>
    <comment ref="B1" authorId="0" shapeId="0" xr:uid="{73FDDF30-F9F3-4144-8856-CFC6A330053F}">
      <text>
        <r>
          <rPr>
            <sz val="9"/>
            <color indexed="81"/>
            <rFont val="Tahoma"/>
            <family val="2"/>
          </rPr>
          <t>This cell's value is this first row on the AnalysisData sheet with data for this sheet's sample.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Rick Collard</author>
  </authors>
  <commentList>
    <comment ref="A1" authorId="0" shapeId="0" xr:uid="{55BFD7BB-5CE1-4E6D-809A-9935080268B6}">
      <text>
        <r>
          <rPr>
            <sz val="9"/>
            <color indexed="81"/>
            <rFont val="Tahoma"/>
            <family val="2"/>
          </rPr>
          <t>This cell's formula returns the index of the sheet's sample on the LIMSData sheet using the user-defined function SheetNumber.  Resize or hide the row so it does not print.</t>
        </r>
      </text>
    </comment>
    <comment ref="B1" authorId="0" shapeId="0" xr:uid="{DE704059-1FAB-416D-8CFE-FDD12041FBA9}">
      <text>
        <r>
          <rPr>
            <sz val="9"/>
            <color indexed="81"/>
            <rFont val="Tahoma"/>
            <family val="2"/>
          </rPr>
          <t>This cell's value is this first row on the AnalysisData sheet with data for this sheet's sample.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Rick Collard</author>
  </authors>
  <commentList>
    <comment ref="A1" authorId="0" shapeId="0" xr:uid="{C973B2AD-72C6-457E-871B-B6BF652DCC6B}">
      <text>
        <r>
          <rPr>
            <sz val="9"/>
            <color indexed="81"/>
            <rFont val="Tahoma"/>
            <family val="2"/>
          </rPr>
          <t>This cell's formula returns the index of the sheet's sample on the LIMSData sheet using the user-defined function SheetNumber.  Resize or hide the row so it does not print.</t>
        </r>
      </text>
    </comment>
    <comment ref="B1" authorId="0" shapeId="0" xr:uid="{D74EB375-F920-45BC-A26B-1AFEFF3C4739}">
      <text>
        <r>
          <rPr>
            <sz val="9"/>
            <color indexed="81"/>
            <rFont val="Tahoma"/>
            <family val="2"/>
          </rPr>
          <t>This cell's value is this first row on the AnalysisData sheet with data for this sheet's sample.</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Rick Collard</author>
  </authors>
  <commentList>
    <comment ref="A1" authorId="0" shapeId="0" xr:uid="{6CFCAF5D-01D0-403F-8C37-D76C72EFC314}">
      <text>
        <r>
          <rPr>
            <sz val="9"/>
            <color indexed="81"/>
            <rFont val="Tahoma"/>
            <family val="2"/>
          </rPr>
          <t>This cell's formula returns the index of the sheet's sample on the LIMSData sheet using the user-defined function SheetNumber.  Resize or hide the row so it does not print.</t>
        </r>
      </text>
    </comment>
    <comment ref="B1" authorId="0" shapeId="0" xr:uid="{243E5D21-1433-4270-BBDA-B4F7B97A83D6}">
      <text>
        <r>
          <rPr>
            <sz val="9"/>
            <color indexed="81"/>
            <rFont val="Tahoma"/>
            <family val="2"/>
          </rPr>
          <t>This cell's value is this first row on the AnalysisData sheet with data for this sheet's sample.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Rick Collard</author>
  </authors>
  <commentList>
    <comment ref="A1" authorId="0" shapeId="0" xr:uid="{B87ECCD9-2322-4FF2-AA94-AC1FFCA764E5}">
      <text>
        <r>
          <rPr>
            <sz val="9"/>
            <color indexed="81"/>
            <rFont val="Tahoma"/>
            <family val="2"/>
          </rPr>
          <t>This cell's formula returns the index of the sheet's sample on the LIMSData sheet using the user-defined function SheetNumber.  Resize or hide the row so it does not print.</t>
        </r>
      </text>
    </comment>
    <comment ref="B1" authorId="0" shapeId="0" xr:uid="{DE14B9C7-96D4-4F6E-BE1F-4959D0B44063}">
      <text>
        <r>
          <rPr>
            <sz val="9"/>
            <color indexed="81"/>
            <rFont val="Tahoma"/>
            <family val="2"/>
          </rPr>
          <t>This cell's value is this first row on the AnalysisData sheet with data for this sheet's sample.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Rick Collard</author>
  </authors>
  <commentList>
    <comment ref="A1" authorId="0" shapeId="0" xr:uid="{6C9467DA-9AB3-4B94-ABC4-71C83A461B93}">
      <text>
        <r>
          <rPr>
            <sz val="9"/>
            <color indexed="81"/>
            <rFont val="Tahoma"/>
            <family val="2"/>
          </rPr>
          <t>This cell's formula returns the index of the sheet's sample on the LIMSData sheet using the user-defined function SheetNumber.  Resize or hide the row so it does not print.</t>
        </r>
      </text>
    </comment>
    <comment ref="B1" authorId="0" shapeId="0" xr:uid="{35E1B0FA-4EBE-4678-A973-17B63030CB52}">
      <text>
        <r>
          <rPr>
            <sz val="9"/>
            <color indexed="81"/>
            <rFont val="Tahoma"/>
            <family val="2"/>
          </rPr>
          <t>This cell's value is this first row on the AnalysisData sheet with data for this sheet's sample.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Rick Collard</author>
  </authors>
  <commentList>
    <comment ref="A1" authorId="0" shapeId="0" xr:uid="{D7E92FB7-768C-4F77-B93B-C8ACCF3B93A3}">
      <text>
        <r>
          <rPr>
            <sz val="9"/>
            <color indexed="81"/>
            <rFont val="Tahoma"/>
            <family val="2"/>
          </rPr>
          <t>This cell's formula returns the index of the sheet's sample on the LIMSData sheet using the user-defined function SheetNumber.  Resize or hide the row so it does not print.</t>
        </r>
      </text>
    </comment>
    <comment ref="B1" authorId="0" shapeId="0" xr:uid="{C5DA2B5F-547C-4E86-82CB-2693C47A9E7C}">
      <text>
        <r>
          <rPr>
            <sz val="9"/>
            <color indexed="81"/>
            <rFont val="Tahoma"/>
            <family val="2"/>
          </rPr>
          <t>This cell's value is this first row on the AnalysisData sheet with data for this sheet's sample.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Rick Collard</author>
  </authors>
  <commentList>
    <comment ref="A1" authorId="0" shapeId="0" xr:uid="{653BC1E1-4B6D-4349-A227-A0232C4C1F52}">
      <text>
        <r>
          <rPr>
            <sz val="9"/>
            <color indexed="81"/>
            <rFont val="Tahoma"/>
            <family val="2"/>
          </rPr>
          <t>This cell's formula returns the index of the sheet's sample on the LIMSData sheet using the user-defined function SheetNumber.  Resize or hide the row so it does not print.</t>
        </r>
      </text>
    </comment>
    <comment ref="B1" authorId="0" shapeId="0" xr:uid="{486FE228-342D-458E-B0B7-2526E2C8D005}">
      <text>
        <r>
          <rPr>
            <sz val="9"/>
            <color indexed="81"/>
            <rFont val="Tahoma"/>
            <family val="2"/>
          </rPr>
          <t>This cell's value is this first row on the AnalysisData sheet with data for this sheet's sample.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Rick Collard</author>
  </authors>
  <commentList>
    <comment ref="A1" authorId="0" shapeId="0" xr:uid="{DE1C3D03-164F-4745-803A-9DD8DC28FD19}">
      <text>
        <r>
          <rPr>
            <sz val="9"/>
            <color indexed="81"/>
            <rFont val="Tahoma"/>
            <family val="2"/>
          </rPr>
          <t>This cell's formula returns the index of the sheet's sample on the LIMSData sheet using the user-defined function SheetNumber.  Resize or hide the row so it does not print.</t>
        </r>
      </text>
    </comment>
    <comment ref="B1" authorId="0" shapeId="0" xr:uid="{9DAA71C5-E0FE-4AFF-A5F0-6C2EAB701CE6}">
      <text>
        <r>
          <rPr>
            <sz val="9"/>
            <color indexed="81"/>
            <rFont val="Tahoma"/>
            <family val="2"/>
          </rPr>
          <t>This cell's value is this first row on the AnalysisData sheet with data for this sheet's sample.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Rick Collard</author>
  </authors>
  <commentList>
    <comment ref="B1" authorId="0" shapeId="0" xr:uid="{00000000-0006-0000-0800-000001000000}">
      <text>
        <r>
          <rPr>
            <sz val="8"/>
            <color indexed="81"/>
            <rFont val="Tahoma"/>
            <family val="2"/>
          </rPr>
          <t>Set the RemoveInfrastructure option to "Yes" to save only SampleN worksheets removing all LIMS infrastructure sheets.  During template development, set this option to "No" to leave all LIMS infrastructure sheets intact.</t>
        </r>
      </text>
    </comment>
    <comment ref="B2" authorId="0" shapeId="0" xr:uid="{00000000-0006-0000-0800-000002000000}">
      <text>
        <r>
          <rPr>
            <sz val="8"/>
            <color indexed="81"/>
            <rFont val="Tahoma"/>
            <family val="2"/>
          </rPr>
          <t>Set the PreventScreenUpdating option to "Yes" to disable screen updating and prevent user interruption while the AfterTransferFromLIMS macro runs.  During template development, set this option to "No" to allow screen updates for troubleshooting.</t>
        </r>
      </text>
    </comment>
    <comment ref="B3" authorId="0" shapeId="0" xr:uid="{00000000-0006-0000-0800-000003000000}">
      <text>
        <r>
          <rPr>
            <sz val="8"/>
            <color indexed="81"/>
            <rFont val="Tahoma"/>
            <family val="2"/>
          </rPr>
          <t>Setting this option to "Yes" will exclude any LIMS analyses marked "Internal Data" such as approval analytes, surrogates, internal standards, spiking compounds, etc.</t>
        </r>
      </text>
    </comment>
  </commentList>
</comments>
</file>

<file path=xl/sharedStrings.xml><?xml version="1.0" encoding="utf-8"?>
<sst xmlns="http://schemas.openxmlformats.org/spreadsheetml/2006/main" count="1454" uniqueCount="382">
  <si>
    <t>CustomerMailingLabel:</t>
  </si>
  <si>
    <t>BillingAddress:</t>
  </si>
  <si>
    <t>ShippingAddress:</t>
  </si>
  <si>
    <t>Exclude "Internal Data" Analyses:</t>
  </si>
  <si>
    <t>Received:</t>
  </si>
  <si>
    <t>Customer:</t>
  </si>
  <si>
    <t>Result</t>
  </si>
  <si>
    <t>Units</t>
  </si>
  <si>
    <t>Method</t>
  </si>
  <si>
    <t>Collected:</t>
  </si>
  <si>
    <t>No</t>
  </si>
  <si>
    <t>Remove Infrastructure:</t>
  </si>
  <si>
    <t>Prevent Screen Updating:</t>
  </si>
  <si>
    <t>Sample ID:</t>
  </si>
  <si>
    <t>Analyte</t>
  </si>
  <si>
    <t>QCAnalyteQCType</t>
  </si>
  <si>
    <t>BG ID:</t>
  </si>
  <si>
    <t>Project:</t>
  </si>
  <si>
    <t>Notes</t>
  </si>
  <si>
    <t>C1</t>
  </si>
  <si>
    <t>C2</t>
  </si>
  <si>
    <t>J</t>
  </si>
  <si>
    <t>U</t>
  </si>
  <si>
    <t>Undetected</t>
  </si>
  <si>
    <t>Reported:</t>
  </si>
  <si>
    <t>Location:</t>
  </si>
  <si>
    <t>%Rec</t>
  </si>
  <si>
    <t>Batch</t>
  </si>
  <si>
    <t>QCPreRec</t>
  </si>
  <si>
    <t>70-130</t>
  </si>
  <si>
    <t>%Rec Limit</t>
  </si>
  <si>
    <t>Qualifiers</t>
  </si>
  <si>
    <t>Spike</t>
  </si>
  <si>
    <t>SAMPLE RESULTS</t>
  </si>
  <si>
    <t>QUALIFIERS:</t>
  </si>
  <si>
    <t>Time:</t>
  </si>
  <si>
    <t>Matrix:</t>
  </si>
  <si>
    <t>QUALITY CONTROL</t>
  </si>
  <si>
    <t xml:space="preserve">     Analyte</t>
  </si>
  <si>
    <t>Reporting Limit</t>
  </si>
  <si>
    <t>D</t>
  </si>
  <si>
    <t>The reported result for this analyte is below the quantification limit.</t>
  </si>
  <si>
    <t>The reported result for this analyte is above the calibration range of the assay.</t>
  </si>
  <si>
    <t>The reported result for this analyte should be considered as an estimated value.</t>
  </si>
  <si>
    <t>Sample diluted - reported result accounts for dilution factor.</t>
  </si>
  <si>
    <t>Revision #</t>
  </si>
  <si>
    <t>Effective Date:</t>
  </si>
  <si>
    <t>Current Revision #</t>
  </si>
  <si>
    <t>Date</t>
  </si>
  <si>
    <t>Document Changes</t>
  </si>
  <si>
    <t>Update to Enumeration and MIC spacing in data tab.</t>
  </si>
  <si>
    <t>Addition of document revision history.</t>
  </si>
  <si>
    <t>Document Live</t>
  </si>
  <si>
    <t>Project.Name</t>
  </si>
  <si>
    <t>SampleType.Name</t>
  </si>
  <si>
    <t>Location.Name</t>
  </si>
  <si>
    <t>Sampler</t>
  </si>
  <si>
    <t>SampleID</t>
  </si>
  <si>
    <t>ProjectID</t>
  </si>
  <si>
    <t>SamplerID</t>
  </si>
  <si>
    <t>SampleTypeID</t>
  </si>
  <si>
    <t>CollectedDate</t>
  </si>
  <si>
    <t>CollectedTime</t>
  </si>
  <si>
    <t>SampleStatus</t>
  </si>
  <si>
    <t>CompletedDate</t>
  </si>
  <si>
    <t>UpdatedDate</t>
  </si>
  <si>
    <t>AddedDate</t>
  </si>
  <si>
    <t>UpdatedUser</t>
  </si>
  <si>
    <t>AddedUser</t>
  </si>
  <si>
    <t>LocationID</t>
  </si>
  <si>
    <t>Conclusions</t>
  </si>
  <si>
    <t>QualityControl</t>
  </si>
  <si>
    <t>CustomerID</t>
  </si>
  <si>
    <t>CustomerSampleID</t>
  </si>
  <si>
    <t>DueDate</t>
  </si>
  <si>
    <t>ReceivedDate</t>
  </si>
  <si>
    <t>ReceivedTime</t>
  </si>
  <si>
    <t>StartedDate</t>
  </si>
  <si>
    <t>ReportedDate</t>
  </si>
  <si>
    <t>Description</t>
  </si>
  <si>
    <t>LinkedDocument</t>
  </si>
  <si>
    <t>Invoice</t>
  </si>
  <si>
    <t>InvoiceDate</t>
  </si>
  <si>
    <t>PurchaseOrder</t>
  </si>
  <si>
    <t>SSMA_TimeStamp</t>
  </si>
  <si>
    <t>Customer.Name</t>
  </si>
  <si>
    <t>ReportName</t>
  </si>
  <si>
    <t>Initials</t>
  </si>
  <si>
    <t>CollectedDateTime</t>
  </si>
  <si>
    <t>AddedDateSort</t>
  </si>
  <si>
    <t>SampleStatusName</t>
  </si>
  <si>
    <t>FormName</t>
  </si>
  <si>
    <t>UserName</t>
  </si>
  <si>
    <t>ComputerName</t>
  </si>
  <si>
    <t>HABs</t>
  </si>
  <si>
    <t>Water Grab</t>
  </si>
  <si>
    <t>HB</t>
  </si>
  <si>
    <t>CLV7</t>
  </si>
  <si>
    <t>BP</t>
  </si>
  <si>
    <t>SHADY01</t>
  </si>
  <si>
    <t>JB</t>
  </si>
  <si>
    <t>RED01</t>
  </si>
  <si>
    <t>AP01</t>
  </si>
  <si>
    <t>LC01</t>
  </si>
  <si>
    <t>ELEM01</t>
  </si>
  <si>
    <t>KEYS03</t>
  </si>
  <si>
    <t>GH</t>
  </si>
  <si>
    <t>LPTNT</t>
  </si>
  <si>
    <t>Yang, Pryscillia</t>
  </si>
  <si>
    <t>241007N001</t>
  </si>
  <si>
    <t>241007N002</t>
  </si>
  <si>
    <t>241007N003</t>
  </si>
  <si>
    <t>241007N004</t>
  </si>
  <si>
    <t>241007N005</t>
  </si>
  <si>
    <t>241007N006</t>
  </si>
  <si>
    <t>241007N007</t>
  </si>
  <si>
    <t>241007N008</t>
  </si>
  <si>
    <t>241007N009</t>
  </si>
  <si>
    <t>241007N010</t>
  </si>
  <si>
    <t>241007N011</t>
  </si>
  <si>
    <t>241007N012</t>
  </si>
  <si>
    <t>admin1</t>
  </si>
  <si>
    <t>Admin1</t>
  </si>
  <si>
    <t>2827</t>
  </si>
  <si>
    <t>2828</t>
  </si>
  <si>
    <t>2829</t>
  </si>
  <si>
    <t>2830</t>
  </si>
  <si>
    <t>2831</t>
  </si>
  <si>
    <t>2832</t>
  </si>
  <si>
    <t>2833</t>
  </si>
  <si>
    <t>2834</t>
  </si>
  <si>
    <t>2835</t>
  </si>
  <si>
    <t>2836</t>
  </si>
  <si>
    <t>2837</t>
  </si>
  <si>
    <t>2838</t>
  </si>
  <si>
    <t>BV1306</t>
  </si>
  <si>
    <t>BV1307</t>
  </si>
  <si>
    <t>BV1308</t>
  </si>
  <si>
    <t>BV1309</t>
  </si>
  <si>
    <t>BV1310</t>
  </si>
  <si>
    <t>BV1311</t>
  </si>
  <si>
    <t>BV1312</t>
  </si>
  <si>
    <t>BV1313</t>
  </si>
  <si>
    <t>BV1314</t>
  </si>
  <si>
    <t>BV1315</t>
  </si>
  <si>
    <t>BV1316</t>
  </si>
  <si>
    <t>BV1317</t>
  </si>
  <si>
    <t>Big Valley</t>
  </si>
  <si>
    <t>Big Valley Band of Pomo Indians</t>
  </si>
  <si>
    <t>PY</t>
  </si>
  <si>
    <t>20241007130414001</t>
  </si>
  <si>
    <t>20241007130414002</t>
  </si>
  <si>
    <t>20241007130414003</t>
  </si>
  <si>
    <t>20241007130415004</t>
  </si>
  <si>
    <t>20241007130415005</t>
  </si>
  <si>
    <t>20241007130416006</t>
  </si>
  <si>
    <t>20241007130416007</t>
  </si>
  <si>
    <t>20241007130417008</t>
  </si>
  <si>
    <t>20241007130417009</t>
  </si>
  <si>
    <t>20241007130417010</t>
  </si>
  <si>
    <t>20241007130418011</t>
  </si>
  <si>
    <t>20241007130418012</t>
  </si>
  <si>
    <t>Normal</t>
  </si>
  <si>
    <t>frmSampleSummarySetup</t>
  </si>
  <si>
    <t>LAPTOP-J463CQVK</t>
  </si>
  <si>
    <t>AnalysisSampleID</t>
  </si>
  <si>
    <t>AnalyteReportName</t>
  </si>
  <si>
    <t>SampleAnalysisID</t>
  </si>
  <si>
    <t>AnalysisResult</t>
  </si>
  <si>
    <t>AnalysisDate</t>
  </si>
  <si>
    <t>AnalysisTime</t>
  </si>
  <si>
    <t>PerformedInhouse</t>
  </si>
  <si>
    <t>LaboratoryID</t>
  </si>
  <si>
    <t>RequirementID</t>
  </si>
  <si>
    <t>ResultMax</t>
  </si>
  <si>
    <t>WarningMax</t>
  </si>
  <si>
    <t>TargetValue</t>
  </si>
  <si>
    <t>WarningMin</t>
  </si>
  <si>
    <t>ResultMin</t>
  </si>
  <si>
    <t>AnalysisID</t>
  </si>
  <si>
    <t>Cost</t>
  </si>
  <si>
    <t>ResultTypeID</t>
  </si>
  <si>
    <t>AnalyticalBatchID</t>
  </si>
  <si>
    <t>Technician</t>
  </si>
  <si>
    <t>DilutionFactor</t>
  </si>
  <si>
    <t>ReportSpecs</t>
  </si>
  <si>
    <t>Laboratory.Name</t>
  </si>
  <si>
    <t>Abbreviation</t>
  </si>
  <si>
    <t>MinDetectLimit</t>
  </si>
  <si>
    <t>AnalysisResultFormatted</t>
  </si>
  <si>
    <t>Requirement.Name</t>
  </si>
  <si>
    <t>InternalData</t>
  </si>
  <si>
    <t>Account</t>
  </si>
  <si>
    <t>Requirement.SortOrder</t>
  </si>
  <si>
    <t>Analysis.SortOrder</t>
  </si>
  <si>
    <t>Method.Name</t>
  </si>
  <si>
    <t>Microcystin</t>
  </si>
  <si>
    <t>py</t>
  </si>
  <si>
    <t>qPCR-mcyE</t>
  </si>
  <si>
    <t>copies/mL</t>
  </si>
  <si>
    <t>3,304</t>
  </si>
  <si>
    <t>QPCR</t>
  </si>
  <si>
    <t>Microcystin/Nod.</t>
  </si>
  <si>
    <t>Microcystins (ELISA)</t>
  </si>
  <si>
    <t>μg/L</t>
  </si>
  <si>
    <t>ND</t>
  </si>
  <si>
    <t>ELISA</t>
  </si>
  <si>
    <t>0.27</t>
  </si>
  <si>
    <t>Cylindrospermopsin</t>
  </si>
  <si>
    <t>qPCR-cyrA</t>
  </si>
  <si>
    <t>1.03</t>
  </si>
  <si>
    <t>1.15</t>
  </si>
  <si>
    <t>1.24</t>
  </si>
  <si>
    <t>Saxitoxin</t>
  </si>
  <si>
    <t>qPCR-sxtA</t>
  </si>
  <si>
    <t>347</t>
  </si>
  <si>
    <t>3.18</t>
  </si>
  <si>
    <t>Anatoxin-a</t>
  </si>
  <si>
    <t>qPCR-anaC</t>
  </si>
  <si>
    <t>qPCR Suite 5-8</t>
  </si>
  <si>
    <t>2.31</t>
  </si>
  <si>
    <t>0.19</t>
  </si>
  <si>
    <t>3.73</t>
  </si>
  <si>
    <t>6,134</t>
  </si>
  <si>
    <t>QCAnalyte</t>
  </si>
  <si>
    <t>QCType</t>
  </si>
  <si>
    <t>QCResultFormatted</t>
  </si>
  <si>
    <t>QCResultValue</t>
  </si>
  <si>
    <t>QCResultName</t>
  </si>
  <si>
    <t>QCResultUnits</t>
  </si>
  <si>
    <t>QCReferenceValue</t>
  </si>
  <si>
    <t>QCReferenceName</t>
  </si>
  <si>
    <t>QCReferenceUnits</t>
  </si>
  <si>
    <t>QCTechnician</t>
  </si>
  <si>
    <t>QCAnalyticalBatchID</t>
  </si>
  <si>
    <t>QCRelatedSampleID</t>
  </si>
  <si>
    <t>MC - Blank</t>
  </si>
  <si>
    <t>0.00</t>
  </si>
  <si>
    <t>0</t>
  </si>
  <si>
    <t>MC - Positive</t>
  </si>
  <si>
    <t>100</t>
  </si>
  <si>
    <t>%</t>
  </si>
  <si>
    <t>0.75</t>
  </si>
  <si>
    <t>110</t>
  </si>
  <si>
    <t>MC - Spike-1</t>
  </si>
  <si>
    <t>94.2</t>
  </si>
  <si>
    <t>1.00</t>
  </si>
  <si>
    <t>TW624</t>
  </si>
  <si>
    <t>126</t>
  </si>
  <si>
    <t>TW617</t>
  </si>
  <si>
    <t>MC - Spike-2</t>
  </si>
  <si>
    <t>106</t>
  </si>
  <si>
    <t>WB5705</t>
  </si>
  <si>
    <t>73.7</t>
  </si>
  <si>
    <t>POS RPD</t>
  </si>
  <si>
    <t>-9.99</t>
  </si>
  <si>
    <t>HIDE</t>
  </si>
  <si>
    <t>13.3</t>
  </si>
  <si>
    <t>POS RSD</t>
  </si>
  <si>
    <t>9.37</t>
  </si>
  <si>
    <t>7.07</t>
  </si>
  <si>
    <t>POS-1</t>
  </si>
  <si>
    <t>0.768</t>
  </si>
  <si>
    <t>0.788</t>
  </si>
  <si>
    <t>POS-2</t>
  </si>
  <si>
    <t>0.713</t>
  </si>
  <si>
    <t>0.877</t>
  </si>
  <si>
    <t>SPC1 RPD</t>
  </si>
  <si>
    <t>6.37</t>
  </si>
  <si>
    <t>-0.159</t>
  </si>
  <si>
    <t>SPC1-1</t>
  </si>
  <si>
    <t>2.28 H</t>
  </si>
  <si>
    <t>SPC1-2</t>
  </si>
  <si>
    <t>2.43 H</t>
  </si>
  <si>
    <t>SPC2 RPD</t>
  </si>
  <si>
    <t>35.2 H</t>
  </si>
  <si>
    <t>6.54</t>
  </si>
  <si>
    <t>SPC2-1</t>
  </si>
  <si>
    <t>1.02</t>
  </si>
  <si>
    <t>SPC2-2</t>
  </si>
  <si>
    <t>1.09</t>
  </si>
  <si>
    <t>anaC - Blank</t>
  </si>
  <si>
    <t>copies</t>
  </si>
  <si>
    <t>anaC - Spike</t>
  </si>
  <si>
    <t>122.9</t>
  </si>
  <si>
    <t>50,000</t>
  </si>
  <si>
    <t>QV154</t>
  </si>
  <si>
    <t>140.9 H</t>
  </si>
  <si>
    <t>107.2</t>
  </si>
  <si>
    <t>CF28</t>
  </si>
  <si>
    <t>anaC-Spike RPD</t>
  </si>
  <si>
    <t>0.160</t>
  </si>
  <si>
    <t>2.15</t>
  </si>
  <si>
    <t>2.29</t>
  </si>
  <si>
    <t>cyrA - Blank</t>
  </si>
  <si>
    <t>cyrA - Spike</t>
  </si>
  <si>
    <t>119.0</t>
  </si>
  <si>
    <t>CF27</t>
  </si>
  <si>
    <t>54.40 L</t>
  </si>
  <si>
    <t>EW268</t>
  </si>
  <si>
    <t>cyrA-Spike RPD</t>
  </si>
  <si>
    <t>-2.37</t>
  </si>
  <si>
    <t>-4.63</t>
  </si>
  <si>
    <t>mcyE - Blank</t>
  </si>
  <si>
    <t>mcyE - Spike</t>
  </si>
  <si>
    <t>104.8</t>
  </si>
  <si>
    <t>131.1 H</t>
  </si>
  <si>
    <t>128.3</t>
  </si>
  <si>
    <t>mcyE-Spike RPD</t>
  </si>
  <si>
    <t>-1.06</t>
  </si>
  <si>
    <t>1.99</t>
  </si>
  <si>
    <t>1.31</t>
  </si>
  <si>
    <t>sxtA - Blank</t>
  </si>
  <si>
    <t>sxtA - Spike</t>
  </si>
  <si>
    <t>50000</t>
  </si>
  <si>
    <t>129</t>
  </si>
  <si>
    <t>105</t>
  </si>
  <si>
    <t>sxtA-Spike RPD</t>
  </si>
  <si>
    <t>2.24</t>
  </si>
  <si>
    <t>-0.840</t>
  </si>
  <si>
    <t>Contact</t>
  </si>
  <si>
    <t xml:space="preserve"> Sarah Ryan</t>
  </si>
  <si>
    <t>Name</t>
  </si>
  <si>
    <t>VoicePhone</t>
  </si>
  <si>
    <t>(707) 263-3924 x132</t>
  </si>
  <si>
    <t>FaxPhone</t>
  </si>
  <si>
    <t>BillingAddressLine1</t>
  </si>
  <si>
    <t>2726 Mission Rancheria Rd</t>
  </si>
  <si>
    <t>ShippingAddressLine1</t>
  </si>
  <si>
    <t>BillingAddressLine2</t>
  </si>
  <si>
    <t>ShippingAddressLine2</t>
  </si>
  <si>
    <t>BillingCity</t>
  </si>
  <si>
    <t>Lakeport</t>
  </si>
  <si>
    <t>ShippingCity</t>
  </si>
  <si>
    <t>BillingState</t>
  </si>
  <si>
    <t>CA</t>
  </si>
  <si>
    <t>ShippingState</t>
  </si>
  <si>
    <t>BillingZipCode</t>
  </si>
  <si>
    <t>95453</t>
  </si>
  <si>
    <t>ShippingZipCode</t>
  </si>
  <si>
    <t>BillingCountry</t>
  </si>
  <si>
    <t>ShippingCountry</t>
  </si>
  <si>
    <t>Inactive</t>
  </si>
  <si>
    <t>LoginName</t>
  </si>
  <si>
    <t>LoginMessaging</t>
  </si>
  <si>
    <t>LoginMessageStyleID</t>
  </si>
  <si>
    <t>LoginMessageRecipients</t>
  </si>
  <si>
    <t>CompletionMessaging</t>
  </si>
  <si>
    <t>CompletionMessageStyleID</t>
  </si>
  <si>
    <t>CompletionMessageRecipients</t>
  </si>
  <si>
    <t>AnalysisCostMultiplier</t>
  </si>
  <si>
    <t>Email</t>
  </si>
  <si>
    <t>kschrade@big-valley.net</t>
  </si>
  <si>
    <t>LoginMessageSubject</t>
  </si>
  <si>
    <t>CompletionMessageSubject</t>
  </si>
  <si>
    <t>BillingContact</t>
  </si>
  <si>
    <t>BillingEmail</t>
  </si>
  <si>
    <t>BillingVoicePhone</t>
  </si>
  <si>
    <t>BillingFaxPhone</t>
  </si>
  <si>
    <t>ShippingContact</t>
  </si>
  <si>
    <t>ShippingEmail</t>
  </si>
  <si>
    <t>ShippingVoicePhone</t>
  </si>
  <si>
    <t>ShippingFaxPhone</t>
  </si>
  <si>
    <t>SampleDescription</t>
  </si>
  <si>
    <t>MobilePhone</t>
  </si>
  <si>
    <t>BillingMobilePhone</t>
  </si>
  <si>
    <t>ShippingMobilePhone</t>
  </si>
  <si>
    <t>ShowSampleLoginOptions</t>
  </si>
  <si>
    <t>MC - Spike</t>
  </si>
  <si>
    <t>Page 14 of 14</t>
  </si>
  <si>
    <t>Page 2 of 14</t>
  </si>
  <si>
    <t>Page 3 of 14</t>
  </si>
  <si>
    <t>Page 4 of 14</t>
  </si>
  <si>
    <t>Page 5 of 14</t>
  </si>
  <si>
    <t>Page 6 of 14</t>
  </si>
  <si>
    <t>Page 7 of 14</t>
  </si>
  <si>
    <t>Page 8 of 14</t>
  </si>
  <si>
    <t>Page 9 of 14</t>
  </si>
  <si>
    <t>Page 10 of 14</t>
  </si>
  <si>
    <t>Page 11 of 14</t>
  </si>
  <si>
    <t>Page 12 of 14</t>
  </si>
  <si>
    <t>Page 13 of 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</si>
</sst>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yy\ h:mm;@"/>
    <numFmt numFmtId="165" formatCode="[$-F400]h:mm:ss\ AM/PM"/>
    <numFmt numFmtId="166" formatCode="m/d/yyyy\ h:mm;@"/>
    <numFmt numFmtId="167" formatCode="[$-409]h:mm\ AM/PM;@"/>
  </numFmts>
  <fonts count="15" x14ac:knownFonts="1">
    <font>
      <sz val="10"/>
      <name val="Arial"/>
    </font>
    <font>
      <b/>
      <sz val="10"/>
      <name val="Arial"/>
      <family val="2"/>
    </font>
    <font>
      <sz val="8"/>
      <name val="Arial"/>
      <family val="2"/>
    </font>
    <font>
      <sz val="8"/>
      <color indexed="81"/>
      <name val="Tahoma"/>
      <family val="2"/>
    </font>
    <font>
      <sz val="10"/>
      <name val="Arial"/>
      <family val="2"/>
    </font>
    <font>
      <sz val="9"/>
      <color indexed="81"/>
      <name val="Tahoma"/>
      <family val="2"/>
    </font>
    <font>
      <b/>
      <sz val="9"/>
      <name val="Arial"/>
      <family val="2"/>
    </font>
    <font>
      <sz val="9"/>
      <name val="Arial"/>
      <family val="2"/>
    </font>
    <font>
      <sz val="8"/>
      <name val="Arial"/>
      <family val="2"/>
    </font>
    <font>
      <b/>
      <sz val="11"/>
      <color rgb="FF00000A"/>
      <name val="Times New Roman"/>
      <family val="1"/>
    </font>
    <font>
      <sz val="11"/>
      <color rgb="FF00000A"/>
      <name val="Times New Roman"/>
      <family val="1"/>
    </font>
    <font>
      <b/>
      <sz val="8"/>
      <name val="Arial"/>
      <family val="2"/>
    </font>
    <font>
      <b/>
      <sz val="8"/>
      <color rgb="FF000000"/>
      <name val="Arial"/>
      <family val="2"/>
    </font>
    <font>
      <i/>
      <sz val="8"/>
      <name val="Arial"/>
      <family val="2"/>
    </font>
    <font>
      <sz val="8"/>
      <color rgb="FF000000"/>
      <name val="Arial"/>
      <family val="2"/>
    </font>
  </fonts>
  <fills count="2">
    <fill>
      <patternFill patternType="none"/>
    </fill>
    <fill>
      <patternFill patternType="gray125"/>
    </fill>
  </fills>
  <borders count="5">
    <border>
      <left/>
      <right/>
      <top/>
      <bottom/>
      <diagonal/>
    </border>
    <border>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2">
    <xf numFmtId="0" fontId="0" fillId="0" borderId="0"/>
    <xf numFmtId="0" fontId="4" fillId="0" borderId="0"/>
  </cellStyleXfs>
  <cellXfs count="69">
    <xf numFmtId="0" fontId="0" fillId="0" borderId="0" xfId="0"/>
    <xf numFmtId="0" fontId="1" fillId="0" borderId="0" xfId="0" applyFont="1" applyAlignment="1">
      <alignment horizontal="left"/>
    </xf>
    <xf numFmtId="0" fontId="1" fillId="0" borderId="0" xfId="0" applyFont="1"/>
    <xf numFmtId="0" fontId="2" fillId="0" borderId="0" xfId="0" applyFont="1"/>
    <xf numFmtId="0" fontId="4" fillId="0" borderId="0" xfId="1"/>
    <xf numFmtId="0" fontId="2" fillId="0" borderId="0" xfId="1" applyFont="1"/>
    <xf numFmtId="0" fontId="1" fillId="0" borderId="0" xfId="1" applyFont="1"/>
    <xf numFmtId="0" fontId="7" fillId="0" borderId="0" xfId="0" applyFont="1"/>
    <xf numFmtId="0" fontId="4" fillId="0" borderId="0" xfId="0" applyFont="1"/>
    <xf numFmtId="0" fontId="6" fillId="0" borderId="0" xfId="0" applyFont="1"/>
    <xf numFmtId="0" fontId="2" fillId="0" borderId="0" xfId="0" applyFont="1" applyAlignment="1">
      <alignment horizontal="left"/>
    </xf>
    <xf numFmtId="0" fontId="0" fillId="0" borderId="0" xfId="0" applyAlignment="1">
      <alignment horizontal="left"/>
    </xf>
    <xf numFmtId="0" fontId="4" fillId="0" borderId="0" xfId="0" applyFont="1" applyAlignment="1">
      <alignment horizontal="left"/>
    </xf>
    <xf numFmtId="164" fontId="4" fillId="0" borderId="0" xfId="0" applyNumberFormat="1" applyFont="1" applyAlignment="1">
      <alignment horizontal="left"/>
    </xf>
    <xf numFmtId="0" fontId="9" fillId="0" borderId="0" xfId="0" applyFont="1" applyAlignment="1">
      <alignment vertical="center"/>
    </xf>
    <xf numFmtId="0" fontId="10" fillId="0" borderId="0" xfId="0" applyFont="1" applyAlignment="1">
      <alignment vertical="center"/>
    </xf>
    <xf numFmtId="0" fontId="9" fillId="0" borderId="0" xfId="0" applyFont="1"/>
    <xf numFmtId="0" fontId="2" fillId="0" borderId="0" xfId="0" applyFont="1" applyAlignment="1">
      <alignment horizontal="center"/>
    </xf>
    <xf numFmtId="0" fontId="11" fillId="0" borderId="0" xfId="0" applyFont="1"/>
    <xf numFmtId="0" fontId="2" fillId="0" borderId="0" xfId="0" applyFont="1" applyAlignment="1">
      <alignment vertical="top" wrapText="1"/>
    </xf>
    <xf numFmtId="0" fontId="11" fillId="0" borderId="0" xfId="0" applyFont="1" applyAlignment="1">
      <alignment horizontal="right"/>
    </xf>
    <xf numFmtId="166" fontId="2" fillId="0" borderId="0" xfId="0" applyNumberFormat="1" applyFont="1" applyAlignment="1">
      <alignment horizontal="left"/>
    </xf>
    <xf numFmtId="14" fontId="2" fillId="0" borderId="0" xfId="0" applyNumberFormat="1" applyFont="1" applyAlignment="1">
      <alignment horizontal="left"/>
    </xf>
    <xf numFmtId="165" fontId="2" fillId="0" borderId="0" xfId="0" applyNumberFormat="1" applyFont="1" applyAlignment="1">
      <alignment horizontal="left"/>
    </xf>
    <xf numFmtId="0" fontId="13" fillId="0" borderId="0" xfId="0" applyFont="1" applyAlignment="1">
      <alignment horizontal="center"/>
    </xf>
    <xf numFmtId="0" fontId="14" fillId="0" borderId="0" xfId="0" applyFont="1" applyAlignment="1">
      <alignment horizontal="center"/>
    </xf>
    <xf numFmtId="0" fontId="11" fillId="0" borderId="2" xfId="0" applyFont="1" applyBorder="1" applyAlignment="1">
      <alignment horizontal="center"/>
    </xf>
    <xf numFmtId="0" fontId="2" fillId="0" borderId="0" xfId="1" applyFont="1" applyAlignment="1">
      <alignment horizontal="left"/>
    </xf>
    <xf numFmtId="0" fontId="2" fillId="0" borderId="0" xfId="1" applyFont="1" applyAlignment="1">
      <alignment horizontal="center"/>
    </xf>
    <xf numFmtId="0" fontId="11" fillId="0" borderId="0" xfId="1" applyFont="1"/>
    <xf numFmtId="0" fontId="2" fillId="0" borderId="0" xfId="1" applyFont="1" applyAlignment="1">
      <alignment vertical="top" wrapText="1"/>
    </xf>
    <xf numFmtId="0" fontId="14" fillId="0" borderId="0" xfId="0" applyFont="1"/>
    <xf numFmtId="0" fontId="11" fillId="0" borderId="2" xfId="0" applyFont="1" applyBorder="1" applyAlignment="1">
      <alignment horizontal="center" wrapText="1"/>
    </xf>
    <xf numFmtId="0" fontId="11" fillId="0" borderId="1" xfId="0" applyFont="1" applyBorder="1"/>
    <xf numFmtId="0" fontId="2" fillId="0" borderId="0" xfId="0" applyFont="1" applyAlignment="1">
      <alignment horizontal="left" vertical="top" wrapText="1"/>
    </xf>
    <xf numFmtId="0" fontId="11" fillId="0" borderId="4" xfId="1" applyFont="1" applyBorder="1" applyAlignment="1">
      <alignment horizontal="center"/>
    </xf>
    <xf numFmtId="0" fontId="12" fillId="0" borderId="4" xfId="0" applyFont="1" applyBorder="1" applyAlignment="1">
      <alignment vertical="center"/>
    </xf>
    <xf numFmtId="0" fontId="14" fillId="0" borderId="2" xfId="0" applyFont="1" applyBorder="1"/>
    <xf numFmtId="0" fontId="14" fillId="0" borderId="2" xfId="0" applyFont="1" applyBorder="1" applyAlignment="1">
      <alignment horizontal="center"/>
    </xf>
    <xf numFmtId="0" fontId="2" fillId="0" borderId="2" xfId="1" applyFont="1" applyBorder="1"/>
    <xf numFmtId="0" fontId="2" fillId="0" borderId="3" xfId="1" applyFont="1" applyBorder="1"/>
    <xf numFmtId="14" fontId="2" fillId="0" borderId="0" xfId="0" applyNumberFormat="1" applyFont="1"/>
    <xf numFmtId="0" fontId="2" fillId="0" borderId="0" xfId="1" applyFont="1" applyAlignment="1">
      <alignment horizontal="right"/>
    </xf>
    <xf numFmtId="0" fontId="2" fillId="0" borderId="0" xfId="0" applyFont="1" applyAlignment="1">
      <alignment horizontal="right"/>
    </xf>
    <xf numFmtId="0" fontId="0" fillId="0" borderId="0" xfId="0" applyAlignment="1">
      <alignment horizontal="right"/>
    </xf>
    <xf numFmtId="0" fontId="0" fillId="0" borderId="0" xfId="0" applyAlignment="1">
      <alignment horizontal="center"/>
    </xf>
    <xf numFmtId="167" fontId="2" fillId="0" borderId="0" xfId="0" applyNumberFormat="1" applyFont="1" applyAlignment="1">
      <alignment horizontal="left"/>
    </xf>
    <xf numFmtId="0" fontId="11" fillId="0" borderId="2" xfId="1" applyFont="1" applyBorder="1" applyAlignment="1">
      <alignment horizontal="left"/>
    </xf>
    <xf numFmtId="0" fontId="11" fillId="0" borderId="0" xfId="1" applyFont="1" applyAlignment="1">
      <alignment horizontal="left"/>
    </xf>
    <xf numFmtId="0" fontId="11" fillId="0" borderId="0" xfId="1" applyFont="1" applyAlignment="1">
      <alignment horizontal="right"/>
    </xf>
    <xf numFmtId="0" fontId="11" fillId="0" borderId="4" xfId="0" applyFont="1" applyBorder="1" applyAlignment="1">
      <alignment horizontal="center"/>
    </xf>
    <xf numFmtId="164" fontId="1" fillId="0" borderId="0" xfId="0" applyNumberFormat="1" applyFont="1" applyAlignment="1">
      <alignment horizontal="left"/>
    </xf>
    <xf numFmtId="0" fontId="4" fillId="0" borderId="0" xfId="0" applyFont="1" applyAlignment="1">
      <alignment vertical="top" wrapText="1"/>
    </xf>
    <xf numFmtId="15" fontId="4" fillId="0" borderId="0" xfId="0" applyNumberFormat="1" applyFont="1" applyAlignment="1">
      <alignment vertical="top" wrapText="1"/>
    </xf>
    <xf numFmtId="15" fontId="10" fillId="0" borderId="0" xfId="0" applyNumberFormat="1" applyFont="1" applyAlignment="1">
      <alignment vertical="center"/>
    </xf>
    <xf numFmtId="15" fontId="0" fillId="0" borderId="0" xfId="0" applyNumberFormat="1"/>
    <xf numFmtId="19" fontId="2" fillId="0" borderId="0" xfId="0" applyNumberFormat="1" applyFont="1"/>
    <xf numFmtId="22" fontId="2" fillId="0" borderId="0" xfId="0" applyNumberFormat="1" applyFont="1"/>
    <xf numFmtId="0" fontId="11" fillId="0" borderId="3" xfId="0" applyFont="1" applyBorder="1" applyAlignment="1">
      <alignment horizontal="center"/>
    </xf>
    <xf numFmtId="2" fontId="2" fillId="0" borderId="0" xfId="0" applyNumberFormat="1" applyFont="1" applyAlignment="1">
      <alignment horizontal="center"/>
    </xf>
    <xf numFmtId="3" fontId="2" fillId="0" borderId="0" xfId="1" applyNumberFormat="1" applyFont="1" applyAlignment="1">
      <alignment horizontal="center"/>
    </xf>
    <xf numFmtId="2" fontId="2" fillId="0" borderId="0" xfId="1" applyNumberFormat="1" applyFont="1" applyAlignment="1">
      <alignment horizontal="center"/>
    </xf>
    <xf numFmtId="0" fontId="11" fillId="0" borderId="2" xfId="1" applyFont="1" applyBorder="1" applyAlignment="1">
      <alignment horizontal="center"/>
    </xf>
    <xf numFmtId="0" fontId="11" fillId="0" borderId="2" xfId="1" applyFont="1" applyBorder="1" applyAlignment="1">
      <alignment horizontal="center" wrapText="1"/>
    </xf>
    <xf numFmtId="0" fontId="11" fillId="0" borderId="3" xfId="1" applyFont="1" applyBorder="1" applyAlignment="1">
      <alignment horizontal="center" wrapText="1"/>
    </xf>
    <xf numFmtId="22" fontId="2" fillId="0" borderId="0" xfId="0" applyNumberFormat="1" applyFont="1" applyAlignment="1">
      <alignment horizontal="left"/>
    </xf>
    <xf numFmtId="166" fontId="2" fillId="0" borderId="0" xfId="0" applyNumberFormat="1" applyFont="1" applyAlignment="1">
      <alignment horizontal="left"/>
    </xf>
    <xf numFmtId="0" fontId="0" fillId="0" borderId="0" xfId="0" applyAlignment="1">
      <alignment horizontal="left" vertical="top" wrapText="1"/>
    </xf>
    <xf numFmtId="0" fontId="0" fillId="0" borderId="0" xfId="0" applyAlignment="1">
      <alignment horizontal="center"/>
    </xf>
  </cellXfs>
  <cellStyles count="2">
    <cellStyle name="Normal" xfId="0" builtinId="0"/>
    <cellStyle name="Normal 2" xfId="1" xr:uid="{00000000-0005-0000-0000-000001000000}"/>
  </cellStyles>
  <dxfs count="13">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38100</xdr:colOff>
      <xdr:row>1</xdr:row>
      <xdr:rowOff>9525</xdr:rowOff>
    </xdr:from>
    <xdr:to>
      <xdr:col>6</xdr:col>
      <xdr:colOff>619135</xdr:colOff>
      <xdr:row>1</xdr:row>
      <xdr:rowOff>735182</xdr:rowOff>
    </xdr:to>
    <xdr:grpSp>
      <xdr:nvGrpSpPr>
        <xdr:cNvPr id="3" name="Group 2">
          <a:extLst>
            <a:ext uri="{FF2B5EF4-FFF2-40B4-BE49-F238E27FC236}">
              <a16:creationId xmlns:a16="http://schemas.microsoft.com/office/drawing/2014/main" id="{03503658-FE61-49BE-9C5C-EDF67F1A6963}"/>
            </a:ext>
          </a:extLst>
        </xdr:cNvPr>
        <xdr:cNvGrpSpPr/>
      </xdr:nvGrpSpPr>
      <xdr:grpSpPr>
        <a:xfrm>
          <a:off x="38100" y="9525"/>
          <a:ext cx="6229360" cy="725657"/>
          <a:chOff x="47615" y="9525"/>
          <a:chExt cx="6229360" cy="725657"/>
        </a:xfrm>
      </xdr:grpSpPr>
      <xdr:sp macro="" textlink="">
        <xdr:nvSpPr>
          <xdr:cNvPr id="5" name="Text Box 8">
            <a:extLst>
              <a:ext uri="{FF2B5EF4-FFF2-40B4-BE49-F238E27FC236}">
                <a16:creationId xmlns:a16="http://schemas.microsoft.com/office/drawing/2014/main" id="{6B26DB0D-FDCC-4152-65AA-8EE61655F996}"/>
              </a:ext>
            </a:extLst>
          </xdr:cNvPr>
          <xdr:cNvSpPr txBox="1">
            <a:spLocks noChangeArrowheads="1"/>
          </xdr:cNvSpPr>
        </xdr:nvSpPr>
        <xdr:spPr bwMode="auto">
          <a:xfrm>
            <a:off x="1224215" y="123824"/>
            <a:ext cx="1010594" cy="504825"/>
          </a:xfrm>
          <a:prstGeom prst="rect">
            <a:avLst/>
          </a:prstGeom>
          <a:noFill/>
          <a:ln>
            <a:noFill/>
          </a:ln>
        </xdr:spPr>
        <xdr:txBody>
          <a:bodyPr vertOverflow="clip" wrap="square" lIns="0" tIns="27432" rIns="27432" bIns="0" anchor="b"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400" b="1"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rPr>
              <a:t>Bend Genetics</a:t>
            </a:r>
            <a:endParaRPr kumimoji="0" lang="en-US" sz="1050" b="0"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endParaRPr>
          </a:p>
          <a:p>
            <a:pPr algn="l" rtl="0">
              <a:defRPr sz="1000"/>
            </a:pPr>
            <a:endParaRPr lang="en-US" sz="900" spc="20" baseline="0">
              <a:latin typeface="Arial" panose="020B0604020202020204" pitchFamily="34" charset="0"/>
              <a:cs typeface="Arial" panose="020B0604020202020204" pitchFamily="34" charset="0"/>
            </a:endParaRPr>
          </a:p>
        </xdr:txBody>
      </xdr:sp>
      <xdr:pic>
        <xdr:nvPicPr>
          <xdr:cNvPr id="6" name="Picture 5">
            <a:extLst>
              <a:ext uri="{FF2B5EF4-FFF2-40B4-BE49-F238E27FC236}">
                <a16:creationId xmlns:a16="http://schemas.microsoft.com/office/drawing/2014/main" id="{E4070A66-7AF9-84F3-2BC3-437731F1A91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8351" y="9525"/>
            <a:ext cx="533231" cy="725657"/>
          </a:xfrm>
          <a:prstGeom prst="rect">
            <a:avLst/>
          </a:prstGeom>
        </xdr:spPr>
      </xdr:pic>
      <xdr:cxnSp macro="">
        <xdr:nvCxnSpPr>
          <xdr:cNvPr id="9" name="Straight Connector 8">
            <a:extLst>
              <a:ext uri="{FF2B5EF4-FFF2-40B4-BE49-F238E27FC236}">
                <a16:creationId xmlns:a16="http://schemas.microsoft.com/office/drawing/2014/main" id="{2CBBE9A4-D2DF-B80B-4CDC-48C78B77804D}"/>
              </a:ext>
            </a:extLst>
          </xdr:cNvPr>
          <xdr:cNvCxnSpPr/>
        </xdr:nvCxnSpPr>
        <xdr:spPr bwMode="auto">
          <a:xfrm>
            <a:off x="1206500" y="647700"/>
            <a:ext cx="507047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cxnSp macro="">
        <xdr:nvCxnSpPr>
          <xdr:cNvPr id="12" name="Straight Connector 11">
            <a:extLst>
              <a:ext uri="{FF2B5EF4-FFF2-40B4-BE49-F238E27FC236}">
                <a16:creationId xmlns:a16="http://schemas.microsoft.com/office/drawing/2014/main" id="{9A01042D-5EE9-99E4-6B9A-69EF35A3C952}"/>
              </a:ext>
            </a:extLst>
          </xdr:cNvPr>
          <xdr:cNvCxnSpPr/>
        </xdr:nvCxnSpPr>
        <xdr:spPr bwMode="auto">
          <a:xfrm>
            <a:off x="47615" y="649287"/>
            <a:ext cx="58738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38100</xdr:colOff>
      <xdr:row>1</xdr:row>
      <xdr:rowOff>9525</xdr:rowOff>
    </xdr:from>
    <xdr:to>
      <xdr:col>6</xdr:col>
      <xdr:colOff>619135</xdr:colOff>
      <xdr:row>1</xdr:row>
      <xdr:rowOff>735182</xdr:rowOff>
    </xdr:to>
    <xdr:grpSp>
      <xdr:nvGrpSpPr>
        <xdr:cNvPr id="2" name="Group 1">
          <a:extLst>
            <a:ext uri="{FF2B5EF4-FFF2-40B4-BE49-F238E27FC236}">
              <a16:creationId xmlns:a16="http://schemas.microsoft.com/office/drawing/2014/main" id="{F45A1FFB-9DD1-4BF1-86E9-E9870CEC098B}"/>
            </a:ext>
          </a:extLst>
        </xdr:cNvPr>
        <xdr:cNvGrpSpPr/>
      </xdr:nvGrpSpPr>
      <xdr:grpSpPr>
        <a:xfrm>
          <a:off x="38100" y="9525"/>
          <a:ext cx="6229360" cy="725657"/>
          <a:chOff x="47615" y="9525"/>
          <a:chExt cx="6229360" cy="725657"/>
        </a:xfrm>
      </xdr:grpSpPr>
      <xdr:sp macro="" textlink="">
        <xdr:nvSpPr>
          <xdr:cNvPr id="3" name="Text Box 8">
            <a:extLst>
              <a:ext uri="{FF2B5EF4-FFF2-40B4-BE49-F238E27FC236}">
                <a16:creationId xmlns:a16="http://schemas.microsoft.com/office/drawing/2014/main" id="{46D111E7-A402-4D23-7F9B-A984F75EB1FD}"/>
              </a:ext>
            </a:extLst>
          </xdr:cNvPr>
          <xdr:cNvSpPr txBox="1">
            <a:spLocks noChangeArrowheads="1"/>
          </xdr:cNvSpPr>
        </xdr:nvSpPr>
        <xdr:spPr bwMode="auto">
          <a:xfrm>
            <a:off x="1224215" y="123824"/>
            <a:ext cx="1010594" cy="504825"/>
          </a:xfrm>
          <a:prstGeom prst="rect">
            <a:avLst/>
          </a:prstGeom>
          <a:noFill/>
          <a:ln>
            <a:noFill/>
          </a:ln>
        </xdr:spPr>
        <xdr:txBody>
          <a:bodyPr vertOverflow="clip" wrap="square" lIns="0" tIns="27432" rIns="27432" bIns="0" anchor="b"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400" b="1"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rPr>
              <a:t>Bend Genetics</a:t>
            </a:r>
            <a:endParaRPr kumimoji="0" lang="en-US" sz="1050" b="0"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endParaRPr>
          </a:p>
          <a:p>
            <a:pPr algn="l" rtl="0">
              <a:defRPr sz="1000"/>
            </a:pPr>
            <a:endParaRPr lang="en-US" sz="900" spc="20" baseline="0">
              <a:latin typeface="Arial" panose="020B0604020202020204" pitchFamily="34" charset="0"/>
              <a:cs typeface="Arial" panose="020B0604020202020204" pitchFamily="34" charset="0"/>
            </a:endParaRPr>
          </a:p>
        </xdr:txBody>
      </xdr:sp>
      <xdr:pic>
        <xdr:nvPicPr>
          <xdr:cNvPr id="4" name="Picture 3">
            <a:extLst>
              <a:ext uri="{FF2B5EF4-FFF2-40B4-BE49-F238E27FC236}">
                <a16:creationId xmlns:a16="http://schemas.microsoft.com/office/drawing/2014/main" id="{4CEB5B21-9FC5-6E24-AB39-6BBE5AE5E77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8351" y="9525"/>
            <a:ext cx="533231" cy="725657"/>
          </a:xfrm>
          <a:prstGeom prst="rect">
            <a:avLst/>
          </a:prstGeom>
        </xdr:spPr>
      </xdr:pic>
      <xdr:cxnSp macro="">
        <xdr:nvCxnSpPr>
          <xdr:cNvPr id="5" name="Straight Connector 4">
            <a:extLst>
              <a:ext uri="{FF2B5EF4-FFF2-40B4-BE49-F238E27FC236}">
                <a16:creationId xmlns:a16="http://schemas.microsoft.com/office/drawing/2014/main" id="{321F5682-CF7C-C254-5B94-1E4AA4C44813}"/>
              </a:ext>
            </a:extLst>
          </xdr:cNvPr>
          <xdr:cNvCxnSpPr/>
        </xdr:nvCxnSpPr>
        <xdr:spPr bwMode="auto">
          <a:xfrm>
            <a:off x="1206500" y="647700"/>
            <a:ext cx="507047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cxnSp macro="">
        <xdr:nvCxnSpPr>
          <xdr:cNvPr id="6" name="Straight Connector 5">
            <a:extLst>
              <a:ext uri="{FF2B5EF4-FFF2-40B4-BE49-F238E27FC236}">
                <a16:creationId xmlns:a16="http://schemas.microsoft.com/office/drawing/2014/main" id="{484A86F8-8D11-8148-3247-CB6BBA428679}"/>
              </a:ext>
            </a:extLst>
          </xdr:cNvPr>
          <xdr:cNvCxnSpPr/>
        </xdr:nvCxnSpPr>
        <xdr:spPr bwMode="auto">
          <a:xfrm>
            <a:off x="47615" y="649287"/>
            <a:ext cx="58738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38100</xdr:colOff>
      <xdr:row>1</xdr:row>
      <xdr:rowOff>9525</xdr:rowOff>
    </xdr:from>
    <xdr:to>
      <xdr:col>6</xdr:col>
      <xdr:colOff>619135</xdr:colOff>
      <xdr:row>1</xdr:row>
      <xdr:rowOff>735182</xdr:rowOff>
    </xdr:to>
    <xdr:grpSp>
      <xdr:nvGrpSpPr>
        <xdr:cNvPr id="2" name="Group 1">
          <a:extLst>
            <a:ext uri="{FF2B5EF4-FFF2-40B4-BE49-F238E27FC236}">
              <a16:creationId xmlns:a16="http://schemas.microsoft.com/office/drawing/2014/main" id="{BB5F6AE4-9F76-4F0B-99BD-E8987942295F}"/>
            </a:ext>
          </a:extLst>
        </xdr:cNvPr>
        <xdr:cNvGrpSpPr/>
      </xdr:nvGrpSpPr>
      <xdr:grpSpPr>
        <a:xfrm>
          <a:off x="38100" y="9525"/>
          <a:ext cx="6229360" cy="725657"/>
          <a:chOff x="47615" y="9525"/>
          <a:chExt cx="6229360" cy="725657"/>
        </a:xfrm>
      </xdr:grpSpPr>
      <xdr:sp macro="" textlink="">
        <xdr:nvSpPr>
          <xdr:cNvPr id="3" name="Text Box 8">
            <a:extLst>
              <a:ext uri="{FF2B5EF4-FFF2-40B4-BE49-F238E27FC236}">
                <a16:creationId xmlns:a16="http://schemas.microsoft.com/office/drawing/2014/main" id="{E57D7425-F2C3-1D1A-978A-BBEF47B8EFCA}"/>
              </a:ext>
            </a:extLst>
          </xdr:cNvPr>
          <xdr:cNvSpPr txBox="1">
            <a:spLocks noChangeArrowheads="1"/>
          </xdr:cNvSpPr>
        </xdr:nvSpPr>
        <xdr:spPr bwMode="auto">
          <a:xfrm>
            <a:off x="1224215" y="123824"/>
            <a:ext cx="1010594" cy="504825"/>
          </a:xfrm>
          <a:prstGeom prst="rect">
            <a:avLst/>
          </a:prstGeom>
          <a:noFill/>
          <a:ln>
            <a:noFill/>
          </a:ln>
        </xdr:spPr>
        <xdr:txBody>
          <a:bodyPr vertOverflow="clip" wrap="square" lIns="0" tIns="27432" rIns="27432" bIns="0" anchor="b"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400" b="1"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rPr>
              <a:t>Bend Genetics</a:t>
            </a:r>
            <a:endParaRPr kumimoji="0" lang="en-US" sz="1050" b="0"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endParaRPr>
          </a:p>
          <a:p>
            <a:pPr algn="l" rtl="0">
              <a:defRPr sz="1000"/>
            </a:pPr>
            <a:endParaRPr lang="en-US" sz="900" spc="20" baseline="0">
              <a:latin typeface="Arial" panose="020B0604020202020204" pitchFamily="34" charset="0"/>
              <a:cs typeface="Arial" panose="020B0604020202020204" pitchFamily="34" charset="0"/>
            </a:endParaRPr>
          </a:p>
        </xdr:txBody>
      </xdr:sp>
      <xdr:pic>
        <xdr:nvPicPr>
          <xdr:cNvPr id="4" name="Picture 3">
            <a:extLst>
              <a:ext uri="{FF2B5EF4-FFF2-40B4-BE49-F238E27FC236}">
                <a16:creationId xmlns:a16="http://schemas.microsoft.com/office/drawing/2014/main" id="{00E00852-5EA1-A1F7-E4F3-21C79F33AD9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8351" y="9525"/>
            <a:ext cx="533231" cy="725657"/>
          </a:xfrm>
          <a:prstGeom prst="rect">
            <a:avLst/>
          </a:prstGeom>
        </xdr:spPr>
      </xdr:pic>
      <xdr:cxnSp macro="">
        <xdr:nvCxnSpPr>
          <xdr:cNvPr id="5" name="Straight Connector 4">
            <a:extLst>
              <a:ext uri="{FF2B5EF4-FFF2-40B4-BE49-F238E27FC236}">
                <a16:creationId xmlns:a16="http://schemas.microsoft.com/office/drawing/2014/main" id="{05120415-30BD-45FE-9CBE-98A3193D9CCD}"/>
              </a:ext>
            </a:extLst>
          </xdr:cNvPr>
          <xdr:cNvCxnSpPr/>
        </xdr:nvCxnSpPr>
        <xdr:spPr bwMode="auto">
          <a:xfrm>
            <a:off x="1206500" y="647700"/>
            <a:ext cx="507047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cxnSp macro="">
        <xdr:nvCxnSpPr>
          <xdr:cNvPr id="6" name="Straight Connector 5">
            <a:extLst>
              <a:ext uri="{FF2B5EF4-FFF2-40B4-BE49-F238E27FC236}">
                <a16:creationId xmlns:a16="http://schemas.microsoft.com/office/drawing/2014/main" id="{877E91FF-3B75-A274-A284-619A95A0564B}"/>
              </a:ext>
            </a:extLst>
          </xdr:cNvPr>
          <xdr:cNvCxnSpPr/>
        </xdr:nvCxnSpPr>
        <xdr:spPr bwMode="auto">
          <a:xfrm>
            <a:off x="47615" y="649287"/>
            <a:ext cx="58738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38100</xdr:colOff>
      <xdr:row>1</xdr:row>
      <xdr:rowOff>9525</xdr:rowOff>
    </xdr:from>
    <xdr:to>
      <xdr:col>6</xdr:col>
      <xdr:colOff>619135</xdr:colOff>
      <xdr:row>1</xdr:row>
      <xdr:rowOff>735182</xdr:rowOff>
    </xdr:to>
    <xdr:grpSp>
      <xdr:nvGrpSpPr>
        <xdr:cNvPr id="2" name="Group 1">
          <a:extLst>
            <a:ext uri="{FF2B5EF4-FFF2-40B4-BE49-F238E27FC236}">
              <a16:creationId xmlns:a16="http://schemas.microsoft.com/office/drawing/2014/main" id="{49ADFDD3-7868-45E9-B511-1FB580A4CE68}"/>
            </a:ext>
          </a:extLst>
        </xdr:cNvPr>
        <xdr:cNvGrpSpPr/>
      </xdr:nvGrpSpPr>
      <xdr:grpSpPr>
        <a:xfrm>
          <a:off x="38100" y="9525"/>
          <a:ext cx="6229360" cy="725657"/>
          <a:chOff x="47615" y="9525"/>
          <a:chExt cx="6229360" cy="725657"/>
        </a:xfrm>
      </xdr:grpSpPr>
      <xdr:sp macro="" textlink="">
        <xdr:nvSpPr>
          <xdr:cNvPr id="3" name="Text Box 8">
            <a:extLst>
              <a:ext uri="{FF2B5EF4-FFF2-40B4-BE49-F238E27FC236}">
                <a16:creationId xmlns:a16="http://schemas.microsoft.com/office/drawing/2014/main" id="{65A9EAA5-C853-F833-BC30-BFA0C816ED10}"/>
              </a:ext>
            </a:extLst>
          </xdr:cNvPr>
          <xdr:cNvSpPr txBox="1">
            <a:spLocks noChangeArrowheads="1"/>
          </xdr:cNvSpPr>
        </xdr:nvSpPr>
        <xdr:spPr bwMode="auto">
          <a:xfrm>
            <a:off x="1224215" y="123824"/>
            <a:ext cx="1010594" cy="504825"/>
          </a:xfrm>
          <a:prstGeom prst="rect">
            <a:avLst/>
          </a:prstGeom>
          <a:noFill/>
          <a:ln>
            <a:noFill/>
          </a:ln>
        </xdr:spPr>
        <xdr:txBody>
          <a:bodyPr vertOverflow="clip" wrap="square" lIns="0" tIns="27432" rIns="27432" bIns="0" anchor="b"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400" b="1"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rPr>
              <a:t>Bend Genetics</a:t>
            </a:r>
            <a:endParaRPr kumimoji="0" lang="en-US" sz="1050" b="0"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endParaRPr>
          </a:p>
          <a:p>
            <a:pPr algn="l" rtl="0">
              <a:defRPr sz="1000"/>
            </a:pPr>
            <a:endParaRPr lang="en-US" sz="900" spc="20" baseline="0">
              <a:latin typeface="Arial" panose="020B0604020202020204" pitchFamily="34" charset="0"/>
              <a:cs typeface="Arial" panose="020B0604020202020204" pitchFamily="34" charset="0"/>
            </a:endParaRPr>
          </a:p>
        </xdr:txBody>
      </xdr:sp>
      <xdr:pic>
        <xdr:nvPicPr>
          <xdr:cNvPr id="4" name="Picture 3">
            <a:extLst>
              <a:ext uri="{FF2B5EF4-FFF2-40B4-BE49-F238E27FC236}">
                <a16:creationId xmlns:a16="http://schemas.microsoft.com/office/drawing/2014/main" id="{032DB220-2AFE-EEC9-9DD3-D75328B3D2B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8351" y="9525"/>
            <a:ext cx="533231" cy="725657"/>
          </a:xfrm>
          <a:prstGeom prst="rect">
            <a:avLst/>
          </a:prstGeom>
        </xdr:spPr>
      </xdr:pic>
      <xdr:cxnSp macro="">
        <xdr:nvCxnSpPr>
          <xdr:cNvPr id="5" name="Straight Connector 4">
            <a:extLst>
              <a:ext uri="{FF2B5EF4-FFF2-40B4-BE49-F238E27FC236}">
                <a16:creationId xmlns:a16="http://schemas.microsoft.com/office/drawing/2014/main" id="{D6034818-BF64-36B5-33F2-F727FC21D4A0}"/>
              </a:ext>
            </a:extLst>
          </xdr:cNvPr>
          <xdr:cNvCxnSpPr/>
        </xdr:nvCxnSpPr>
        <xdr:spPr bwMode="auto">
          <a:xfrm>
            <a:off x="1206500" y="647700"/>
            <a:ext cx="507047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cxnSp macro="">
        <xdr:nvCxnSpPr>
          <xdr:cNvPr id="6" name="Straight Connector 5">
            <a:extLst>
              <a:ext uri="{FF2B5EF4-FFF2-40B4-BE49-F238E27FC236}">
                <a16:creationId xmlns:a16="http://schemas.microsoft.com/office/drawing/2014/main" id="{9D775C92-3257-5DCB-421D-9F7D5536632C}"/>
              </a:ext>
            </a:extLst>
          </xdr:cNvPr>
          <xdr:cNvCxnSpPr/>
        </xdr:nvCxnSpPr>
        <xdr:spPr bwMode="auto">
          <a:xfrm>
            <a:off x="47615" y="649287"/>
            <a:ext cx="58738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38100</xdr:colOff>
      <xdr:row>1</xdr:row>
      <xdr:rowOff>9525</xdr:rowOff>
    </xdr:from>
    <xdr:to>
      <xdr:col>6</xdr:col>
      <xdr:colOff>619135</xdr:colOff>
      <xdr:row>1</xdr:row>
      <xdr:rowOff>735182</xdr:rowOff>
    </xdr:to>
    <xdr:grpSp>
      <xdr:nvGrpSpPr>
        <xdr:cNvPr id="2" name="Group 1">
          <a:extLst>
            <a:ext uri="{FF2B5EF4-FFF2-40B4-BE49-F238E27FC236}">
              <a16:creationId xmlns:a16="http://schemas.microsoft.com/office/drawing/2014/main" id="{DCE1F40F-1DD6-46AF-87CF-90B8D5E7295B}"/>
            </a:ext>
          </a:extLst>
        </xdr:cNvPr>
        <xdr:cNvGrpSpPr/>
      </xdr:nvGrpSpPr>
      <xdr:grpSpPr>
        <a:xfrm>
          <a:off x="38100" y="9525"/>
          <a:ext cx="6229360" cy="725657"/>
          <a:chOff x="47615" y="9525"/>
          <a:chExt cx="6229360" cy="725657"/>
        </a:xfrm>
      </xdr:grpSpPr>
      <xdr:sp macro="" textlink="">
        <xdr:nvSpPr>
          <xdr:cNvPr id="3" name="Text Box 8">
            <a:extLst>
              <a:ext uri="{FF2B5EF4-FFF2-40B4-BE49-F238E27FC236}">
                <a16:creationId xmlns:a16="http://schemas.microsoft.com/office/drawing/2014/main" id="{F954039D-D13E-B564-C04C-9F220D090F52}"/>
              </a:ext>
            </a:extLst>
          </xdr:cNvPr>
          <xdr:cNvSpPr txBox="1">
            <a:spLocks noChangeArrowheads="1"/>
          </xdr:cNvSpPr>
        </xdr:nvSpPr>
        <xdr:spPr bwMode="auto">
          <a:xfrm>
            <a:off x="1224215" y="123824"/>
            <a:ext cx="1010594" cy="504825"/>
          </a:xfrm>
          <a:prstGeom prst="rect">
            <a:avLst/>
          </a:prstGeom>
          <a:noFill/>
          <a:ln>
            <a:noFill/>
          </a:ln>
        </xdr:spPr>
        <xdr:txBody>
          <a:bodyPr vertOverflow="clip" wrap="square" lIns="0" tIns="27432" rIns="27432" bIns="0" anchor="b"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400" b="1"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rPr>
              <a:t>Bend Genetics</a:t>
            </a:r>
            <a:endParaRPr kumimoji="0" lang="en-US" sz="1050" b="0"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endParaRPr>
          </a:p>
          <a:p>
            <a:pPr algn="l" rtl="0">
              <a:defRPr sz="1000"/>
            </a:pPr>
            <a:endParaRPr lang="en-US" sz="900" spc="20" baseline="0">
              <a:latin typeface="Arial" panose="020B0604020202020204" pitchFamily="34" charset="0"/>
              <a:cs typeface="Arial" panose="020B0604020202020204" pitchFamily="34" charset="0"/>
            </a:endParaRPr>
          </a:p>
        </xdr:txBody>
      </xdr:sp>
      <xdr:pic>
        <xdr:nvPicPr>
          <xdr:cNvPr id="4" name="Picture 3">
            <a:extLst>
              <a:ext uri="{FF2B5EF4-FFF2-40B4-BE49-F238E27FC236}">
                <a16:creationId xmlns:a16="http://schemas.microsoft.com/office/drawing/2014/main" id="{677B7681-CEDA-2441-8067-D06A3B1951C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8351" y="9525"/>
            <a:ext cx="533231" cy="725657"/>
          </a:xfrm>
          <a:prstGeom prst="rect">
            <a:avLst/>
          </a:prstGeom>
        </xdr:spPr>
      </xdr:pic>
      <xdr:cxnSp macro="">
        <xdr:nvCxnSpPr>
          <xdr:cNvPr id="5" name="Straight Connector 4">
            <a:extLst>
              <a:ext uri="{FF2B5EF4-FFF2-40B4-BE49-F238E27FC236}">
                <a16:creationId xmlns:a16="http://schemas.microsoft.com/office/drawing/2014/main" id="{426A97FD-996E-BAD1-1B17-D2E6B956BD06}"/>
              </a:ext>
            </a:extLst>
          </xdr:cNvPr>
          <xdr:cNvCxnSpPr/>
        </xdr:nvCxnSpPr>
        <xdr:spPr bwMode="auto">
          <a:xfrm>
            <a:off x="1206500" y="647700"/>
            <a:ext cx="507047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cxnSp macro="">
        <xdr:nvCxnSpPr>
          <xdr:cNvPr id="6" name="Straight Connector 5">
            <a:extLst>
              <a:ext uri="{FF2B5EF4-FFF2-40B4-BE49-F238E27FC236}">
                <a16:creationId xmlns:a16="http://schemas.microsoft.com/office/drawing/2014/main" id="{EEF95C0B-1DE8-A99B-DE75-BE29CDE2608B}"/>
              </a:ext>
            </a:extLst>
          </xdr:cNvPr>
          <xdr:cNvCxnSpPr/>
        </xdr:nvCxnSpPr>
        <xdr:spPr bwMode="auto">
          <a:xfrm>
            <a:off x="47615" y="649287"/>
            <a:ext cx="58738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38100</xdr:colOff>
      <xdr:row>1</xdr:row>
      <xdr:rowOff>9525</xdr:rowOff>
    </xdr:from>
    <xdr:to>
      <xdr:col>6</xdr:col>
      <xdr:colOff>619135</xdr:colOff>
      <xdr:row>1</xdr:row>
      <xdr:rowOff>735182</xdr:rowOff>
    </xdr:to>
    <xdr:grpSp>
      <xdr:nvGrpSpPr>
        <xdr:cNvPr id="2" name="Group 1">
          <a:extLst>
            <a:ext uri="{FF2B5EF4-FFF2-40B4-BE49-F238E27FC236}">
              <a16:creationId xmlns:a16="http://schemas.microsoft.com/office/drawing/2014/main" id="{C6837702-C852-4BE6-AF61-A9414203512A}"/>
            </a:ext>
          </a:extLst>
        </xdr:cNvPr>
        <xdr:cNvGrpSpPr/>
      </xdr:nvGrpSpPr>
      <xdr:grpSpPr>
        <a:xfrm>
          <a:off x="38100" y="9525"/>
          <a:ext cx="6229360" cy="725657"/>
          <a:chOff x="47615" y="9525"/>
          <a:chExt cx="6229360" cy="725657"/>
        </a:xfrm>
      </xdr:grpSpPr>
      <xdr:sp macro="" textlink="">
        <xdr:nvSpPr>
          <xdr:cNvPr id="3" name="Text Box 8">
            <a:extLst>
              <a:ext uri="{FF2B5EF4-FFF2-40B4-BE49-F238E27FC236}">
                <a16:creationId xmlns:a16="http://schemas.microsoft.com/office/drawing/2014/main" id="{5C94AF69-5DD7-26E7-0A74-0C1AEA8424BC}"/>
              </a:ext>
            </a:extLst>
          </xdr:cNvPr>
          <xdr:cNvSpPr txBox="1">
            <a:spLocks noChangeArrowheads="1"/>
          </xdr:cNvSpPr>
        </xdr:nvSpPr>
        <xdr:spPr bwMode="auto">
          <a:xfrm>
            <a:off x="1224215" y="123824"/>
            <a:ext cx="1010594" cy="504825"/>
          </a:xfrm>
          <a:prstGeom prst="rect">
            <a:avLst/>
          </a:prstGeom>
          <a:noFill/>
          <a:ln>
            <a:noFill/>
          </a:ln>
        </xdr:spPr>
        <xdr:txBody>
          <a:bodyPr vertOverflow="clip" wrap="square" lIns="0" tIns="27432" rIns="27432" bIns="0" anchor="b"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400" b="1"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rPr>
              <a:t>Bend Genetics</a:t>
            </a:r>
            <a:endParaRPr kumimoji="0" lang="en-US" sz="1050" b="0"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endParaRPr>
          </a:p>
          <a:p>
            <a:pPr algn="l" rtl="0">
              <a:defRPr sz="1000"/>
            </a:pPr>
            <a:endParaRPr lang="en-US" sz="900" spc="20" baseline="0">
              <a:latin typeface="Arial" panose="020B0604020202020204" pitchFamily="34" charset="0"/>
              <a:cs typeface="Arial" panose="020B0604020202020204" pitchFamily="34" charset="0"/>
            </a:endParaRPr>
          </a:p>
        </xdr:txBody>
      </xdr:sp>
      <xdr:pic>
        <xdr:nvPicPr>
          <xdr:cNvPr id="4" name="Picture 3">
            <a:extLst>
              <a:ext uri="{FF2B5EF4-FFF2-40B4-BE49-F238E27FC236}">
                <a16:creationId xmlns:a16="http://schemas.microsoft.com/office/drawing/2014/main" id="{A07A8493-1885-490A-95D9-BE10B0B43A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8351" y="9525"/>
            <a:ext cx="533231" cy="725657"/>
          </a:xfrm>
          <a:prstGeom prst="rect">
            <a:avLst/>
          </a:prstGeom>
        </xdr:spPr>
      </xdr:pic>
      <xdr:cxnSp macro="">
        <xdr:nvCxnSpPr>
          <xdr:cNvPr id="5" name="Straight Connector 4">
            <a:extLst>
              <a:ext uri="{FF2B5EF4-FFF2-40B4-BE49-F238E27FC236}">
                <a16:creationId xmlns:a16="http://schemas.microsoft.com/office/drawing/2014/main" id="{E60DF470-F49C-E33C-1395-51AD12737A32}"/>
              </a:ext>
            </a:extLst>
          </xdr:cNvPr>
          <xdr:cNvCxnSpPr/>
        </xdr:nvCxnSpPr>
        <xdr:spPr bwMode="auto">
          <a:xfrm>
            <a:off x="1206500" y="647700"/>
            <a:ext cx="507047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cxnSp macro="">
        <xdr:nvCxnSpPr>
          <xdr:cNvPr id="6" name="Straight Connector 5">
            <a:extLst>
              <a:ext uri="{FF2B5EF4-FFF2-40B4-BE49-F238E27FC236}">
                <a16:creationId xmlns:a16="http://schemas.microsoft.com/office/drawing/2014/main" id="{4AF4D9B6-9B1F-6941-3151-09331C5240AD}"/>
              </a:ext>
            </a:extLst>
          </xdr:cNvPr>
          <xdr:cNvCxnSpPr/>
        </xdr:nvCxnSpPr>
        <xdr:spPr bwMode="auto">
          <a:xfrm>
            <a:off x="47615" y="649287"/>
            <a:ext cx="58738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38100</xdr:colOff>
      <xdr:row>1</xdr:row>
      <xdr:rowOff>9525</xdr:rowOff>
    </xdr:from>
    <xdr:to>
      <xdr:col>6</xdr:col>
      <xdr:colOff>619135</xdr:colOff>
      <xdr:row>1</xdr:row>
      <xdr:rowOff>735182</xdr:rowOff>
    </xdr:to>
    <xdr:grpSp>
      <xdr:nvGrpSpPr>
        <xdr:cNvPr id="2" name="Group 1">
          <a:extLst>
            <a:ext uri="{FF2B5EF4-FFF2-40B4-BE49-F238E27FC236}">
              <a16:creationId xmlns:a16="http://schemas.microsoft.com/office/drawing/2014/main" id="{052536BB-D0A9-4E5D-AEB8-146265608C5A}"/>
            </a:ext>
          </a:extLst>
        </xdr:cNvPr>
        <xdr:cNvGrpSpPr/>
      </xdr:nvGrpSpPr>
      <xdr:grpSpPr>
        <a:xfrm>
          <a:off x="38100" y="9525"/>
          <a:ext cx="6229360" cy="725657"/>
          <a:chOff x="47615" y="9525"/>
          <a:chExt cx="6229360" cy="725657"/>
        </a:xfrm>
      </xdr:grpSpPr>
      <xdr:sp macro="" textlink="">
        <xdr:nvSpPr>
          <xdr:cNvPr id="3" name="Text Box 8">
            <a:extLst>
              <a:ext uri="{FF2B5EF4-FFF2-40B4-BE49-F238E27FC236}">
                <a16:creationId xmlns:a16="http://schemas.microsoft.com/office/drawing/2014/main" id="{7AA8035E-D31E-0B3F-F7D1-3E9DC7BC07A7}"/>
              </a:ext>
            </a:extLst>
          </xdr:cNvPr>
          <xdr:cNvSpPr txBox="1">
            <a:spLocks noChangeArrowheads="1"/>
          </xdr:cNvSpPr>
        </xdr:nvSpPr>
        <xdr:spPr bwMode="auto">
          <a:xfrm>
            <a:off x="1224215" y="123824"/>
            <a:ext cx="1010594" cy="504825"/>
          </a:xfrm>
          <a:prstGeom prst="rect">
            <a:avLst/>
          </a:prstGeom>
          <a:noFill/>
          <a:ln>
            <a:noFill/>
          </a:ln>
        </xdr:spPr>
        <xdr:txBody>
          <a:bodyPr vertOverflow="clip" wrap="square" lIns="0" tIns="27432" rIns="27432" bIns="0" anchor="b"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400" b="1"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rPr>
              <a:t>Bend Genetics</a:t>
            </a:r>
            <a:endParaRPr kumimoji="0" lang="en-US" sz="1050" b="0"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endParaRPr>
          </a:p>
          <a:p>
            <a:pPr algn="l" rtl="0">
              <a:defRPr sz="1000"/>
            </a:pPr>
            <a:endParaRPr lang="en-US" sz="900" spc="20" baseline="0">
              <a:latin typeface="Arial" panose="020B0604020202020204" pitchFamily="34" charset="0"/>
              <a:cs typeface="Arial" panose="020B0604020202020204" pitchFamily="34" charset="0"/>
            </a:endParaRPr>
          </a:p>
        </xdr:txBody>
      </xdr:sp>
      <xdr:pic>
        <xdr:nvPicPr>
          <xdr:cNvPr id="4" name="Picture 3">
            <a:extLst>
              <a:ext uri="{FF2B5EF4-FFF2-40B4-BE49-F238E27FC236}">
                <a16:creationId xmlns:a16="http://schemas.microsoft.com/office/drawing/2014/main" id="{4C1E559C-0C73-49B0-10D4-4751693F700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8351" y="9525"/>
            <a:ext cx="533231" cy="725657"/>
          </a:xfrm>
          <a:prstGeom prst="rect">
            <a:avLst/>
          </a:prstGeom>
        </xdr:spPr>
      </xdr:pic>
      <xdr:cxnSp macro="">
        <xdr:nvCxnSpPr>
          <xdr:cNvPr id="5" name="Straight Connector 4">
            <a:extLst>
              <a:ext uri="{FF2B5EF4-FFF2-40B4-BE49-F238E27FC236}">
                <a16:creationId xmlns:a16="http://schemas.microsoft.com/office/drawing/2014/main" id="{B611A8F7-3ADC-B51F-AF7D-764FEA90DD25}"/>
              </a:ext>
            </a:extLst>
          </xdr:cNvPr>
          <xdr:cNvCxnSpPr/>
        </xdr:nvCxnSpPr>
        <xdr:spPr bwMode="auto">
          <a:xfrm>
            <a:off x="1206500" y="647700"/>
            <a:ext cx="507047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cxnSp macro="">
        <xdr:nvCxnSpPr>
          <xdr:cNvPr id="6" name="Straight Connector 5">
            <a:extLst>
              <a:ext uri="{FF2B5EF4-FFF2-40B4-BE49-F238E27FC236}">
                <a16:creationId xmlns:a16="http://schemas.microsoft.com/office/drawing/2014/main" id="{8B483D5C-CFA3-4CE5-7C1D-F58B312B9B57}"/>
              </a:ext>
            </a:extLst>
          </xdr:cNvPr>
          <xdr:cNvCxnSpPr/>
        </xdr:nvCxnSpPr>
        <xdr:spPr bwMode="auto">
          <a:xfrm>
            <a:off x="47615" y="649287"/>
            <a:ext cx="58738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38100</xdr:colOff>
      <xdr:row>1</xdr:row>
      <xdr:rowOff>9525</xdr:rowOff>
    </xdr:from>
    <xdr:to>
      <xdr:col>6</xdr:col>
      <xdr:colOff>619135</xdr:colOff>
      <xdr:row>1</xdr:row>
      <xdr:rowOff>735182</xdr:rowOff>
    </xdr:to>
    <xdr:grpSp>
      <xdr:nvGrpSpPr>
        <xdr:cNvPr id="2" name="Group 1">
          <a:extLst>
            <a:ext uri="{FF2B5EF4-FFF2-40B4-BE49-F238E27FC236}">
              <a16:creationId xmlns:a16="http://schemas.microsoft.com/office/drawing/2014/main" id="{B156010E-78A8-4615-AEB6-0E7429A816D0}"/>
            </a:ext>
          </a:extLst>
        </xdr:cNvPr>
        <xdr:cNvGrpSpPr/>
      </xdr:nvGrpSpPr>
      <xdr:grpSpPr>
        <a:xfrm>
          <a:off x="38100" y="9525"/>
          <a:ext cx="6229360" cy="725657"/>
          <a:chOff x="47615" y="9525"/>
          <a:chExt cx="6229360" cy="725657"/>
        </a:xfrm>
      </xdr:grpSpPr>
      <xdr:sp macro="" textlink="">
        <xdr:nvSpPr>
          <xdr:cNvPr id="3" name="Text Box 8">
            <a:extLst>
              <a:ext uri="{FF2B5EF4-FFF2-40B4-BE49-F238E27FC236}">
                <a16:creationId xmlns:a16="http://schemas.microsoft.com/office/drawing/2014/main" id="{2B916D36-A22B-7B56-2FCF-D2FCB8136948}"/>
              </a:ext>
            </a:extLst>
          </xdr:cNvPr>
          <xdr:cNvSpPr txBox="1">
            <a:spLocks noChangeArrowheads="1"/>
          </xdr:cNvSpPr>
        </xdr:nvSpPr>
        <xdr:spPr bwMode="auto">
          <a:xfrm>
            <a:off x="1224215" y="123824"/>
            <a:ext cx="1010594" cy="504825"/>
          </a:xfrm>
          <a:prstGeom prst="rect">
            <a:avLst/>
          </a:prstGeom>
          <a:noFill/>
          <a:ln>
            <a:noFill/>
          </a:ln>
        </xdr:spPr>
        <xdr:txBody>
          <a:bodyPr vertOverflow="clip" wrap="square" lIns="0" tIns="27432" rIns="27432" bIns="0" anchor="b"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400" b="1"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rPr>
              <a:t>Bend Genetics</a:t>
            </a:r>
            <a:endParaRPr kumimoji="0" lang="en-US" sz="1050" b="0"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endParaRPr>
          </a:p>
          <a:p>
            <a:pPr algn="l" rtl="0">
              <a:defRPr sz="1000"/>
            </a:pPr>
            <a:endParaRPr lang="en-US" sz="900" spc="20" baseline="0">
              <a:latin typeface="Arial" panose="020B0604020202020204" pitchFamily="34" charset="0"/>
              <a:cs typeface="Arial" panose="020B0604020202020204" pitchFamily="34" charset="0"/>
            </a:endParaRPr>
          </a:p>
        </xdr:txBody>
      </xdr:sp>
      <xdr:pic>
        <xdr:nvPicPr>
          <xdr:cNvPr id="4" name="Picture 3">
            <a:extLst>
              <a:ext uri="{FF2B5EF4-FFF2-40B4-BE49-F238E27FC236}">
                <a16:creationId xmlns:a16="http://schemas.microsoft.com/office/drawing/2014/main" id="{2D87A4D5-7F71-9709-504A-59237A0AABB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8351" y="9525"/>
            <a:ext cx="533231" cy="725657"/>
          </a:xfrm>
          <a:prstGeom prst="rect">
            <a:avLst/>
          </a:prstGeom>
        </xdr:spPr>
      </xdr:pic>
      <xdr:cxnSp macro="">
        <xdr:nvCxnSpPr>
          <xdr:cNvPr id="5" name="Straight Connector 4">
            <a:extLst>
              <a:ext uri="{FF2B5EF4-FFF2-40B4-BE49-F238E27FC236}">
                <a16:creationId xmlns:a16="http://schemas.microsoft.com/office/drawing/2014/main" id="{D21852F2-2638-ADBF-BD90-BB22A66AD21D}"/>
              </a:ext>
            </a:extLst>
          </xdr:cNvPr>
          <xdr:cNvCxnSpPr/>
        </xdr:nvCxnSpPr>
        <xdr:spPr bwMode="auto">
          <a:xfrm>
            <a:off x="1206500" y="647700"/>
            <a:ext cx="507047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cxnSp macro="">
        <xdr:nvCxnSpPr>
          <xdr:cNvPr id="6" name="Straight Connector 5">
            <a:extLst>
              <a:ext uri="{FF2B5EF4-FFF2-40B4-BE49-F238E27FC236}">
                <a16:creationId xmlns:a16="http://schemas.microsoft.com/office/drawing/2014/main" id="{148A6FE5-0B29-22C5-ABDF-8E8C05423E33}"/>
              </a:ext>
            </a:extLst>
          </xdr:cNvPr>
          <xdr:cNvCxnSpPr/>
        </xdr:nvCxnSpPr>
        <xdr:spPr bwMode="auto">
          <a:xfrm>
            <a:off x="47615" y="649287"/>
            <a:ext cx="58738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38100</xdr:colOff>
      <xdr:row>1</xdr:row>
      <xdr:rowOff>9525</xdr:rowOff>
    </xdr:from>
    <xdr:to>
      <xdr:col>6</xdr:col>
      <xdr:colOff>619135</xdr:colOff>
      <xdr:row>1</xdr:row>
      <xdr:rowOff>735182</xdr:rowOff>
    </xdr:to>
    <xdr:grpSp>
      <xdr:nvGrpSpPr>
        <xdr:cNvPr id="2" name="Group 1">
          <a:extLst>
            <a:ext uri="{FF2B5EF4-FFF2-40B4-BE49-F238E27FC236}">
              <a16:creationId xmlns:a16="http://schemas.microsoft.com/office/drawing/2014/main" id="{7BA78C5E-915A-4C74-B0F2-96B0F495436E}"/>
            </a:ext>
          </a:extLst>
        </xdr:cNvPr>
        <xdr:cNvGrpSpPr/>
      </xdr:nvGrpSpPr>
      <xdr:grpSpPr>
        <a:xfrm>
          <a:off x="38100" y="9525"/>
          <a:ext cx="6229360" cy="725657"/>
          <a:chOff x="47615" y="9525"/>
          <a:chExt cx="6229360" cy="725657"/>
        </a:xfrm>
      </xdr:grpSpPr>
      <xdr:sp macro="" textlink="">
        <xdr:nvSpPr>
          <xdr:cNvPr id="3" name="Text Box 8">
            <a:extLst>
              <a:ext uri="{FF2B5EF4-FFF2-40B4-BE49-F238E27FC236}">
                <a16:creationId xmlns:a16="http://schemas.microsoft.com/office/drawing/2014/main" id="{43E7A891-80AB-4250-612C-CC2B50AA5B4E}"/>
              </a:ext>
            </a:extLst>
          </xdr:cNvPr>
          <xdr:cNvSpPr txBox="1">
            <a:spLocks noChangeArrowheads="1"/>
          </xdr:cNvSpPr>
        </xdr:nvSpPr>
        <xdr:spPr bwMode="auto">
          <a:xfrm>
            <a:off x="1224215" y="123824"/>
            <a:ext cx="1010594" cy="504825"/>
          </a:xfrm>
          <a:prstGeom prst="rect">
            <a:avLst/>
          </a:prstGeom>
          <a:noFill/>
          <a:ln>
            <a:noFill/>
          </a:ln>
        </xdr:spPr>
        <xdr:txBody>
          <a:bodyPr vertOverflow="clip" wrap="square" lIns="0" tIns="27432" rIns="27432" bIns="0" anchor="b"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400" b="1"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rPr>
              <a:t>Bend Genetics</a:t>
            </a:r>
            <a:endParaRPr kumimoji="0" lang="en-US" sz="1050" b="0"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endParaRPr>
          </a:p>
          <a:p>
            <a:pPr algn="l" rtl="0">
              <a:defRPr sz="1000"/>
            </a:pPr>
            <a:endParaRPr lang="en-US" sz="900" spc="20" baseline="0">
              <a:latin typeface="Arial" panose="020B0604020202020204" pitchFamily="34" charset="0"/>
              <a:cs typeface="Arial" panose="020B0604020202020204" pitchFamily="34" charset="0"/>
            </a:endParaRPr>
          </a:p>
        </xdr:txBody>
      </xdr:sp>
      <xdr:pic>
        <xdr:nvPicPr>
          <xdr:cNvPr id="4" name="Picture 3">
            <a:extLst>
              <a:ext uri="{FF2B5EF4-FFF2-40B4-BE49-F238E27FC236}">
                <a16:creationId xmlns:a16="http://schemas.microsoft.com/office/drawing/2014/main" id="{CB5F2A34-4D8E-46A0-93F9-BB767C8D27A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8351" y="9525"/>
            <a:ext cx="533231" cy="725657"/>
          </a:xfrm>
          <a:prstGeom prst="rect">
            <a:avLst/>
          </a:prstGeom>
        </xdr:spPr>
      </xdr:pic>
      <xdr:cxnSp macro="">
        <xdr:nvCxnSpPr>
          <xdr:cNvPr id="5" name="Straight Connector 4">
            <a:extLst>
              <a:ext uri="{FF2B5EF4-FFF2-40B4-BE49-F238E27FC236}">
                <a16:creationId xmlns:a16="http://schemas.microsoft.com/office/drawing/2014/main" id="{B336A31F-6EBE-AA1F-7236-E38D5507D94C}"/>
              </a:ext>
            </a:extLst>
          </xdr:cNvPr>
          <xdr:cNvCxnSpPr/>
        </xdr:nvCxnSpPr>
        <xdr:spPr bwMode="auto">
          <a:xfrm>
            <a:off x="1206500" y="647700"/>
            <a:ext cx="507047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cxnSp macro="">
        <xdr:nvCxnSpPr>
          <xdr:cNvPr id="6" name="Straight Connector 5">
            <a:extLst>
              <a:ext uri="{FF2B5EF4-FFF2-40B4-BE49-F238E27FC236}">
                <a16:creationId xmlns:a16="http://schemas.microsoft.com/office/drawing/2014/main" id="{6755AEC7-8EE1-81B7-8370-0D2090E3E931}"/>
              </a:ext>
            </a:extLst>
          </xdr:cNvPr>
          <xdr:cNvCxnSpPr/>
        </xdr:nvCxnSpPr>
        <xdr:spPr bwMode="auto">
          <a:xfrm>
            <a:off x="47615" y="649287"/>
            <a:ext cx="58738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38100</xdr:colOff>
      <xdr:row>1</xdr:row>
      <xdr:rowOff>9525</xdr:rowOff>
    </xdr:from>
    <xdr:to>
      <xdr:col>6</xdr:col>
      <xdr:colOff>619135</xdr:colOff>
      <xdr:row>1</xdr:row>
      <xdr:rowOff>735182</xdr:rowOff>
    </xdr:to>
    <xdr:grpSp>
      <xdr:nvGrpSpPr>
        <xdr:cNvPr id="2" name="Group 1">
          <a:extLst>
            <a:ext uri="{FF2B5EF4-FFF2-40B4-BE49-F238E27FC236}">
              <a16:creationId xmlns:a16="http://schemas.microsoft.com/office/drawing/2014/main" id="{49A16862-306F-4114-9BB9-16067017F813}"/>
            </a:ext>
          </a:extLst>
        </xdr:cNvPr>
        <xdr:cNvGrpSpPr/>
      </xdr:nvGrpSpPr>
      <xdr:grpSpPr>
        <a:xfrm>
          <a:off x="38100" y="9525"/>
          <a:ext cx="6229360" cy="725657"/>
          <a:chOff x="47615" y="9525"/>
          <a:chExt cx="6229360" cy="725657"/>
        </a:xfrm>
      </xdr:grpSpPr>
      <xdr:sp macro="" textlink="">
        <xdr:nvSpPr>
          <xdr:cNvPr id="3" name="Text Box 8">
            <a:extLst>
              <a:ext uri="{FF2B5EF4-FFF2-40B4-BE49-F238E27FC236}">
                <a16:creationId xmlns:a16="http://schemas.microsoft.com/office/drawing/2014/main" id="{45133DE9-1584-9986-508E-16180E91AA55}"/>
              </a:ext>
            </a:extLst>
          </xdr:cNvPr>
          <xdr:cNvSpPr txBox="1">
            <a:spLocks noChangeArrowheads="1"/>
          </xdr:cNvSpPr>
        </xdr:nvSpPr>
        <xdr:spPr bwMode="auto">
          <a:xfrm>
            <a:off x="1224215" y="123824"/>
            <a:ext cx="1010594" cy="504825"/>
          </a:xfrm>
          <a:prstGeom prst="rect">
            <a:avLst/>
          </a:prstGeom>
          <a:noFill/>
          <a:ln>
            <a:noFill/>
          </a:ln>
        </xdr:spPr>
        <xdr:txBody>
          <a:bodyPr vertOverflow="clip" wrap="square" lIns="0" tIns="27432" rIns="27432" bIns="0" anchor="b"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400" b="1"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rPr>
              <a:t>Bend Genetics</a:t>
            </a:r>
            <a:endParaRPr kumimoji="0" lang="en-US" sz="1050" b="0"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endParaRPr>
          </a:p>
          <a:p>
            <a:pPr algn="l" rtl="0">
              <a:defRPr sz="1000"/>
            </a:pPr>
            <a:endParaRPr lang="en-US" sz="900" spc="20" baseline="0">
              <a:latin typeface="Arial" panose="020B0604020202020204" pitchFamily="34" charset="0"/>
              <a:cs typeface="Arial" panose="020B0604020202020204" pitchFamily="34" charset="0"/>
            </a:endParaRPr>
          </a:p>
        </xdr:txBody>
      </xdr:sp>
      <xdr:pic>
        <xdr:nvPicPr>
          <xdr:cNvPr id="4" name="Picture 3">
            <a:extLst>
              <a:ext uri="{FF2B5EF4-FFF2-40B4-BE49-F238E27FC236}">
                <a16:creationId xmlns:a16="http://schemas.microsoft.com/office/drawing/2014/main" id="{9E90C1CF-4274-4773-0412-2F62E47137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8351" y="9525"/>
            <a:ext cx="533231" cy="725657"/>
          </a:xfrm>
          <a:prstGeom prst="rect">
            <a:avLst/>
          </a:prstGeom>
        </xdr:spPr>
      </xdr:pic>
      <xdr:cxnSp macro="">
        <xdr:nvCxnSpPr>
          <xdr:cNvPr id="5" name="Straight Connector 4">
            <a:extLst>
              <a:ext uri="{FF2B5EF4-FFF2-40B4-BE49-F238E27FC236}">
                <a16:creationId xmlns:a16="http://schemas.microsoft.com/office/drawing/2014/main" id="{43FFCEC7-1665-AF7A-C43D-651E4E2DB5CC}"/>
              </a:ext>
            </a:extLst>
          </xdr:cNvPr>
          <xdr:cNvCxnSpPr/>
        </xdr:nvCxnSpPr>
        <xdr:spPr bwMode="auto">
          <a:xfrm>
            <a:off x="1206500" y="647700"/>
            <a:ext cx="507047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cxnSp macro="">
        <xdr:nvCxnSpPr>
          <xdr:cNvPr id="6" name="Straight Connector 5">
            <a:extLst>
              <a:ext uri="{FF2B5EF4-FFF2-40B4-BE49-F238E27FC236}">
                <a16:creationId xmlns:a16="http://schemas.microsoft.com/office/drawing/2014/main" id="{72FB8ABD-D168-494A-CA4A-3DCD16E7D6F8}"/>
              </a:ext>
            </a:extLst>
          </xdr:cNvPr>
          <xdr:cNvCxnSpPr/>
        </xdr:nvCxnSpPr>
        <xdr:spPr bwMode="auto">
          <a:xfrm>
            <a:off x="47615" y="649287"/>
            <a:ext cx="58738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38100</xdr:colOff>
      <xdr:row>1</xdr:row>
      <xdr:rowOff>9525</xdr:rowOff>
    </xdr:from>
    <xdr:to>
      <xdr:col>6</xdr:col>
      <xdr:colOff>619135</xdr:colOff>
      <xdr:row>1</xdr:row>
      <xdr:rowOff>735182</xdr:rowOff>
    </xdr:to>
    <xdr:grpSp>
      <xdr:nvGrpSpPr>
        <xdr:cNvPr id="2" name="Group 1">
          <a:extLst>
            <a:ext uri="{FF2B5EF4-FFF2-40B4-BE49-F238E27FC236}">
              <a16:creationId xmlns:a16="http://schemas.microsoft.com/office/drawing/2014/main" id="{FD3C4F6E-655E-4789-A7B9-D8CF67492A2D}"/>
            </a:ext>
          </a:extLst>
        </xdr:cNvPr>
        <xdr:cNvGrpSpPr/>
      </xdr:nvGrpSpPr>
      <xdr:grpSpPr>
        <a:xfrm>
          <a:off x="38100" y="9525"/>
          <a:ext cx="6229360" cy="725657"/>
          <a:chOff x="47615" y="9525"/>
          <a:chExt cx="6229360" cy="725657"/>
        </a:xfrm>
      </xdr:grpSpPr>
      <xdr:sp macro="" textlink="">
        <xdr:nvSpPr>
          <xdr:cNvPr id="3" name="Text Box 8">
            <a:extLst>
              <a:ext uri="{FF2B5EF4-FFF2-40B4-BE49-F238E27FC236}">
                <a16:creationId xmlns:a16="http://schemas.microsoft.com/office/drawing/2014/main" id="{608E4C78-DB5C-8036-551F-84763F9EB046}"/>
              </a:ext>
            </a:extLst>
          </xdr:cNvPr>
          <xdr:cNvSpPr txBox="1">
            <a:spLocks noChangeArrowheads="1"/>
          </xdr:cNvSpPr>
        </xdr:nvSpPr>
        <xdr:spPr bwMode="auto">
          <a:xfrm>
            <a:off x="1224215" y="123824"/>
            <a:ext cx="1010594" cy="504825"/>
          </a:xfrm>
          <a:prstGeom prst="rect">
            <a:avLst/>
          </a:prstGeom>
          <a:noFill/>
          <a:ln>
            <a:noFill/>
          </a:ln>
        </xdr:spPr>
        <xdr:txBody>
          <a:bodyPr vertOverflow="clip" wrap="square" lIns="0" tIns="27432" rIns="27432" bIns="0" anchor="b"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400" b="1"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rPr>
              <a:t>Bend Genetics</a:t>
            </a:r>
            <a:endParaRPr kumimoji="0" lang="en-US" sz="1050" b="0"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endParaRPr>
          </a:p>
          <a:p>
            <a:pPr algn="l" rtl="0">
              <a:defRPr sz="1000"/>
            </a:pPr>
            <a:endParaRPr lang="en-US" sz="900" spc="20" baseline="0">
              <a:latin typeface="Arial" panose="020B0604020202020204" pitchFamily="34" charset="0"/>
              <a:cs typeface="Arial" panose="020B0604020202020204" pitchFamily="34" charset="0"/>
            </a:endParaRPr>
          </a:p>
        </xdr:txBody>
      </xdr:sp>
      <xdr:pic>
        <xdr:nvPicPr>
          <xdr:cNvPr id="4" name="Picture 3">
            <a:extLst>
              <a:ext uri="{FF2B5EF4-FFF2-40B4-BE49-F238E27FC236}">
                <a16:creationId xmlns:a16="http://schemas.microsoft.com/office/drawing/2014/main" id="{E4CAC89B-78EF-B690-63DB-5463CDEE09C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8351" y="9525"/>
            <a:ext cx="533231" cy="725657"/>
          </a:xfrm>
          <a:prstGeom prst="rect">
            <a:avLst/>
          </a:prstGeom>
        </xdr:spPr>
      </xdr:pic>
      <xdr:cxnSp macro="">
        <xdr:nvCxnSpPr>
          <xdr:cNvPr id="5" name="Straight Connector 4">
            <a:extLst>
              <a:ext uri="{FF2B5EF4-FFF2-40B4-BE49-F238E27FC236}">
                <a16:creationId xmlns:a16="http://schemas.microsoft.com/office/drawing/2014/main" id="{13C26B09-EDD3-5B6C-E98A-56FAC4C25C24}"/>
              </a:ext>
            </a:extLst>
          </xdr:cNvPr>
          <xdr:cNvCxnSpPr/>
        </xdr:nvCxnSpPr>
        <xdr:spPr bwMode="auto">
          <a:xfrm>
            <a:off x="1206500" y="647700"/>
            <a:ext cx="507047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cxnSp macro="">
        <xdr:nvCxnSpPr>
          <xdr:cNvPr id="6" name="Straight Connector 5">
            <a:extLst>
              <a:ext uri="{FF2B5EF4-FFF2-40B4-BE49-F238E27FC236}">
                <a16:creationId xmlns:a16="http://schemas.microsoft.com/office/drawing/2014/main" id="{2542F81F-9068-90BE-BD0B-CBC9B64D6BF1}"/>
              </a:ext>
            </a:extLst>
          </xdr:cNvPr>
          <xdr:cNvCxnSpPr/>
        </xdr:nvCxnSpPr>
        <xdr:spPr bwMode="auto">
          <a:xfrm>
            <a:off x="47615" y="649287"/>
            <a:ext cx="58738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grp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38100</xdr:colOff>
      <xdr:row>1</xdr:row>
      <xdr:rowOff>9525</xdr:rowOff>
    </xdr:from>
    <xdr:to>
      <xdr:col>6</xdr:col>
      <xdr:colOff>619135</xdr:colOff>
      <xdr:row>1</xdr:row>
      <xdr:rowOff>735182</xdr:rowOff>
    </xdr:to>
    <xdr:grpSp>
      <xdr:nvGrpSpPr>
        <xdr:cNvPr id="2" name="Group 1">
          <a:extLst>
            <a:ext uri="{FF2B5EF4-FFF2-40B4-BE49-F238E27FC236}">
              <a16:creationId xmlns:a16="http://schemas.microsoft.com/office/drawing/2014/main" id="{12B5B28A-817D-419E-A37B-4676899894B3}"/>
            </a:ext>
          </a:extLst>
        </xdr:cNvPr>
        <xdr:cNvGrpSpPr/>
      </xdr:nvGrpSpPr>
      <xdr:grpSpPr>
        <a:xfrm>
          <a:off x="38100" y="9525"/>
          <a:ext cx="6229360" cy="725657"/>
          <a:chOff x="47615" y="9525"/>
          <a:chExt cx="6229360" cy="725657"/>
        </a:xfrm>
      </xdr:grpSpPr>
      <xdr:sp macro="" textlink="">
        <xdr:nvSpPr>
          <xdr:cNvPr id="3" name="Text Box 8">
            <a:extLst>
              <a:ext uri="{FF2B5EF4-FFF2-40B4-BE49-F238E27FC236}">
                <a16:creationId xmlns:a16="http://schemas.microsoft.com/office/drawing/2014/main" id="{64E7F2C5-0DAA-F7B5-C87F-0254EA2E7F21}"/>
              </a:ext>
            </a:extLst>
          </xdr:cNvPr>
          <xdr:cNvSpPr txBox="1">
            <a:spLocks noChangeArrowheads="1"/>
          </xdr:cNvSpPr>
        </xdr:nvSpPr>
        <xdr:spPr bwMode="auto">
          <a:xfrm>
            <a:off x="1224215" y="123824"/>
            <a:ext cx="1010594" cy="504825"/>
          </a:xfrm>
          <a:prstGeom prst="rect">
            <a:avLst/>
          </a:prstGeom>
          <a:noFill/>
          <a:ln>
            <a:noFill/>
          </a:ln>
        </xdr:spPr>
        <xdr:txBody>
          <a:bodyPr vertOverflow="clip" wrap="square" lIns="0" tIns="27432" rIns="27432" bIns="0" anchor="b"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400" b="1"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rPr>
              <a:t>Bend Genetics</a:t>
            </a:r>
            <a:endParaRPr kumimoji="0" lang="en-US" sz="1050" b="0"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endParaRPr>
          </a:p>
          <a:p>
            <a:pPr algn="l" rtl="0">
              <a:defRPr sz="1000"/>
            </a:pPr>
            <a:endParaRPr lang="en-US" sz="900" spc="20" baseline="0">
              <a:latin typeface="Arial" panose="020B0604020202020204" pitchFamily="34" charset="0"/>
              <a:cs typeface="Arial" panose="020B0604020202020204" pitchFamily="34" charset="0"/>
            </a:endParaRPr>
          </a:p>
        </xdr:txBody>
      </xdr:sp>
      <xdr:pic>
        <xdr:nvPicPr>
          <xdr:cNvPr id="4" name="Picture 3">
            <a:extLst>
              <a:ext uri="{FF2B5EF4-FFF2-40B4-BE49-F238E27FC236}">
                <a16:creationId xmlns:a16="http://schemas.microsoft.com/office/drawing/2014/main" id="{CA003A05-32A2-2097-1D39-A2992885C72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8351" y="9525"/>
            <a:ext cx="533231" cy="725657"/>
          </a:xfrm>
          <a:prstGeom prst="rect">
            <a:avLst/>
          </a:prstGeom>
        </xdr:spPr>
      </xdr:pic>
      <xdr:cxnSp macro="">
        <xdr:nvCxnSpPr>
          <xdr:cNvPr id="5" name="Straight Connector 4">
            <a:extLst>
              <a:ext uri="{FF2B5EF4-FFF2-40B4-BE49-F238E27FC236}">
                <a16:creationId xmlns:a16="http://schemas.microsoft.com/office/drawing/2014/main" id="{342F185D-CE8A-60DA-EB95-42A346560DCD}"/>
              </a:ext>
            </a:extLst>
          </xdr:cNvPr>
          <xdr:cNvCxnSpPr/>
        </xdr:nvCxnSpPr>
        <xdr:spPr bwMode="auto">
          <a:xfrm>
            <a:off x="1206500" y="647700"/>
            <a:ext cx="507047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cxnSp macro="">
        <xdr:nvCxnSpPr>
          <xdr:cNvPr id="6" name="Straight Connector 5">
            <a:extLst>
              <a:ext uri="{FF2B5EF4-FFF2-40B4-BE49-F238E27FC236}">
                <a16:creationId xmlns:a16="http://schemas.microsoft.com/office/drawing/2014/main" id="{AF65E8D9-033E-2376-132A-29677000D419}"/>
              </a:ext>
            </a:extLst>
          </xdr:cNvPr>
          <xdr:cNvCxnSpPr/>
        </xdr:nvCxnSpPr>
        <xdr:spPr bwMode="auto">
          <a:xfrm>
            <a:off x="47615" y="649287"/>
            <a:ext cx="58738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38100</xdr:colOff>
      <xdr:row>0</xdr:row>
      <xdr:rowOff>9525</xdr:rowOff>
    </xdr:from>
    <xdr:to>
      <xdr:col>8</xdr:col>
      <xdr:colOff>600085</xdr:colOff>
      <xdr:row>0</xdr:row>
      <xdr:rowOff>735182</xdr:rowOff>
    </xdr:to>
    <xdr:grpSp>
      <xdr:nvGrpSpPr>
        <xdr:cNvPr id="2" name="Group 1">
          <a:extLst>
            <a:ext uri="{FF2B5EF4-FFF2-40B4-BE49-F238E27FC236}">
              <a16:creationId xmlns:a16="http://schemas.microsoft.com/office/drawing/2014/main" id="{342EF31E-367D-40A6-8E93-E8EDE6527AE3}"/>
            </a:ext>
          </a:extLst>
        </xdr:cNvPr>
        <xdr:cNvGrpSpPr/>
      </xdr:nvGrpSpPr>
      <xdr:grpSpPr>
        <a:xfrm>
          <a:off x="38100" y="9525"/>
          <a:ext cx="6229360" cy="725657"/>
          <a:chOff x="47615" y="9525"/>
          <a:chExt cx="6229360" cy="725657"/>
        </a:xfrm>
      </xdr:grpSpPr>
      <xdr:sp macro="" textlink="">
        <xdr:nvSpPr>
          <xdr:cNvPr id="3" name="Text Box 8">
            <a:extLst>
              <a:ext uri="{FF2B5EF4-FFF2-40B4-BE49-F238E27FC236}">
                <a16:creationId xmlns:a16="http://schemas.microsoft.com/office/drawing/2014/main" id="{9D4F5B03-1F25-07DD-7F72-A26DB03C1712}"/>
              </a:ext>
            </a:extLst>
          </xdr:cNvPr>
          <xdr:cNvSpPr txBox="1">
            <a:spLocks noChangeArrowheads="1"/>
          </xdr:cNvSpPr>
        </xdr:nvSpPr>
        <xdr:spPr bwMode="auto">
          <a:xfrm>
            <a:off x="1224215" y="123824"/>
            <a:ext cx="1010594" cy="504825"/>
          </a:xfrm>
          <a:prstGeom prst="rect">
            <a:avLst/>
          </a:prstGeom>
          <a:noFill/>
          <a:ln>
            <a:noFill/>
          </a:ln>
        </xdr:spPr>
        <xdr:txBody>
          <a:bodyPr vertOverflow="clip" wrap="square" lIns="0" tIns="27432" rIns="27432" bIns="0" anchor="b"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400" b="1"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rPr>
              <a:t>Bend Genetics</a:t>
            </a:r>
            <a:endParaRPr kumimoji="0" lang="en-US" sz="1050" b="0" i="0" u="none" strike="noStrike" kern="0" cap="none" spc="20" normalizeH="0" baseline="0" noProof="0">
              <a:ln>
                <a:noFill/>
              </a:ln>
              <a:solidFill>
                <a:srgbClr val="000000"/>
              </a:solidFill>
              <a:effectLst/>
              <a:uLnTx/>
              <a:uFillTx/>
              <a:latin typeface="Arial" panose="020B0604020202020204" pitchFamily="34" charset="0"/>
              <a:ea typeface="+mn-ea"/>
              <a:cs typeface="Arial" panose="020B0604020202020204" pitchFamily="34" charset="0"/>
            </a:endParaRPr>
          </a:p>
          <a:p>
            <a:pPr algn="l" rtl="0">
              <a:defRPr sz="1000"/>
            </a:pPr>
            <a:endParaRPr lang="en-US" sz="900" spc="20" baseline="0">
              <a:latin typeface="Arial" panose="020B0604020202020204" pitchFamily="34" charset="0"/>
              <a:cs typeface="Arial" panose="020B0604020202020204" pitchFamily="34" charset="0"/>
            </a:endParaRPr>
          </a:p>
        </xdr:txBody>
      </xdr:sp>
      <xdr:pic>
        <xdr:nvPicPr>
          <xdr:cNvPr id="4" name="Picture 3">
            <a:extLst>
              <a:ext uri="{FF2B5EF4-FFF2-40B4-BE49-F238E27FC236}">
                <a16:creationId xmlns:a16="http://schemas.microsoft.com/office/drawing/2014/main" id="{45F96D3E-96B6-3BC5-D387-462B41002F6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8351" y="9525"/>
            <a:ext cx="533231" cy="725657"/>
          </a:xfrm>
          <a:prstGeom prst="rect">
            <a:avLst/>
          </a:prstGeom>
        </xdr:spPr>
      </xdr:pic>
      <xdr:cxnSp macro="">
        <xdr:nvCxnSpPr>
          <xdr:cNvPr id="5" name="Straight Connector 4">
            <a:extLst>
              <a:ext uri="{FF2B5EF4-FFF2-40B4-BE49-F238E27FC236}">
                <a16:creationId xmlns:a16="http://schemas.microsoft.com/office/drawing/2014/main" id="{A2CC2F0F-00EA-E8C6-B330-6BDB227EA8A1}"/>
              </a:ext>
            </a:extLst>
          </xdr:cNvPr>
          <xdr:cNvCxnSpPr/>
        </xdr:nvCxnSpPr>
        <xdr:spPr bwMode="auto">
          <a:xfrm>
            <a:off x="1206500" y="647700"/>
            <a:ext cx="507047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cxnSp macro="">
        <xdr:nvCxnSpPr>
          <xdr:cNvPr id="6" name="Straight Connector 5">
            <a:extLst>
              <a:ext uri="{FF2B5EF4-FFF2-40B4-BE49-F238E27FC236}">
                <a16:creationId xmlns:a16="http://schemas.microsoft.com/office/drawing/2014/main" id="{8E340859-17BD-CE08-2E4C-DF3745680A1A}"/>
              </a:ext>
            </a:extLst>
          </xdr:cNvPr>
          <xdr:cNvCxnSpPr/>
        </xdr:nvCxnSpPr>
        <xdr:spPr bwMode="auto">
          <a:xfrm>
            <a:off x="47615" y="649287"/>
            <a:ext cx="587385" cy="0"/>
          </a:xfrm>
          <a:prstGeom prst="line">
            <a:avLst/>
          </a:prstGeom>
          <a:solidFill>
            <a:srgbClr xmlns:mc="http://schemas.openxmlformats.org/markup-compatibility/2006" xmlns:a14="http://schemas.microsoft.com/office/drawing/2010/main" val="FFFFFF" mc:Ignorable="a14" a14:legacySpreadsheetColorIndex="9"/>
          </a:solidFill>
          <a:ln w="19050" cap="flat" cmpd="sng" algn="ctr">
            <a:solidFill>
              <a:schemeClr val="bg1">
                <a:lumMod val="65000"/>
              </a:schemeClr>
            </a:solidFill>
            <a:prstDash val="solid"/>
            <a:round/>
            <a:headEnd type="none" w="med" len="med"/>
            <a:tailEnd type="none" w="med" len="med"/>
          </a:ln>
          <a:effectLst/>
        </xdr:spPr>
      </xdr:cxnSp>
    </xdr:grp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304800</xdr:colOff>
      <xdr:row>0</xdr:row>
      <xdr:rowOff>80011</xdr:rowOff>
    </xdr:from>
    <xdr:to>
      <xdr:col>6</xdr:col>
      <xdr:colOff>260985</xdr:colOff>
      <xdr:row>0</xdr:row>
      <xdr:rowOff>1104900</xdr:rowOff>
    </xdr:to>
    <xdr:sp macro="" textlink="">
      <xdr:nvSpPr>
        <xdr:cNvPr id="2" name="Text Box 8">
          <a:extLst>
            <a:ext uri="{FF2B5EF4-FFF2-40B4-BE49-F238E27FC236}">
              <a16:creationId xmlns:a16="http://schemas.microsoft.com/office/drawing/2014/main" id="{C161C839-5B17-41A6-86CA-5F6009D13047}"/>
            </a:ext>
          </a:extLst>
        </xdr:cNvPr>
        <xdr:cNvSpPr txBox="1">
          <a:spLocks noChangeArrowheads="1"/>
        </xdr:cNvSpPr>
      </xdr:nvSpPr>
      <xdr:spPr bwMode="auto">
        <a:xfrm>
          <a:off x="1343025" y="80011"/>
          <a:ext cx="4566285" cy="1024889"/>
        </a:xfrm>
        <a:prstGeom prst="rect">
          <a:avLst/>
        </a:prstGeom>
        <a:solidFill>
          <a:srgbClr xmlns:mc="http://schemas.openxmlformats.org/markup-compatibility/2006" xmlns:a14="http://schemas.microsoft.com/office/drawing/2010/main" val="FFFFFF" mc:Ignorable="a14" a14:legacySpreadsheetColorIndex="9"/>
        </a:solidFill>
        <a:ln>
          <a:noFill/>
        </a:ln>
      </xdr:spPr>
      <xdr:txBody>
        <a:bodyPr vertOverflow="clip" wrap="square" lIns="0" tIns="27432" rIns="27432" bIns="0" anchor="b" upright="1"/>
        <a:lstStyle/>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600" b="1" i="0" u="none" strike="noStrike" kern="0" cap="none" spc="0" normalizeH="0" baseline="0" noProof="0">
              <a:ln>
                <a:noFill/>
              </a:ln>
              <a:solidFill>
                <a:srgbClr val="000000"/>
              </a:solidFill>
              <a:effectLst/>
              <a:uLnTx/>
              <a:uFillTx/>
              <a:latin typeface="Arial"/>
              <a:ea typeface="+mn-ea"/>
              <a:cs typeface="Arial"/>
            </a:rPr>
            <a:t>Bend Genetics, LLC</a:t>
          </a:r>
          <a:endParaRPr kumimoji="0" lang="en-US" sz="1100" b="0" i="0" u="none" strike="noStrike" kern="0" cap="none" spc="0" normalizeH="0" baseline="0" noProof="0">
            <a:ln>
              <a:noFill/>
            </a:ln>
            <a:solidFill>
              <a:srgbClr val="000000"/>
            </a:solidFill>
            <a:effectLst/>
            <a:uLnTx/>
            <a:uFillTx/>
            <a:latin typeface="Arial"/>
            <a:ea typeface="+mn-ea"/>
            <a:cs typeface="Arial"/>
          </a:endParaRP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100" b="0" i="0" u="none" strike="noStrike" kern="0" cap="none" spc="0" normalizeH="0" baseline="0" noProof="0">
              <a:ln>
                <a:noFill/>
              </a:ln>
              <a:solidFill>
                <a:srgbClr val="000000"/>
              </a:solidFill>
              <a:effectLst/>
              <a:uLnTx/>
              <a:uFillTx/>
              <a:latin typeface="Arial"/>
              <a:ea typeface="+mn-ea"/>
              <a:cs typeface="Arial"/>
            </a:rPr>
            <a:t>107 Scripps Drive, Ste. 210</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100" b="0" i="0" u="none" strike="noStrike" kern="0" cap="none" spc="0" normalizeH="0" baseline="0" noProof="0">
              <a:ln>
                <a:noFill/>
              </a:ln>
              <a:solidFill>
                <a:srgbClr val="000000"/>
              </a:solidFill>
              <a:effectLst/>
              <a:uLnTx/>
              <a:uFillTx/>
              <a:latin typeface="Arial"/>
              <a:ea typeface="+mn-ea"/>
              <a:cs typeface="Arial"/>
            </a:rPr>
            <a:t>Sacramento, CA 95825 </a:t>
          </a:r>
          <a:r>
            <a:rPr kumimoji="0" lang="en-US" sz="1050" b="0" i="0" u="none" strike="noStrike" kern="0" cap="none" spc="0" normalizeH="0" baseline="0" noProof="0">
              <a:ln>
                <a:noFill/>
              </a:ln>
              <a:solidFill>
                <a:srgbClr val="000000"/>
              </a:solidFill>
              <a:effectLst/>
              <a:uLnTx/>
              <a:uFillTx/>
              <a:latin typeface="Arial"/>
              <a:ea typeface="+mn-ea"/>
              <a:cs typeface="Arial"/>
            </a:rPr>
            <a:t>	</a:t>
          </a:r>
        </a:p>
        <a:p>
          <a:pPr marL="0" marR="0" lvl="0" indent="0" algn="l" defTabSz="914400" rtl="0" eaLnBrk="1" fontAlgn="auto" latinLnBrk="0" hangingPunct="1">
            <a:lnSpc>
              <a:spcPct val="100000"/>
            </a:lnSpc>
            <a:spcBef>
              <a:spcPts val="0"/>
            </a:spcBef>
            <a:spcAft>
              <a:spcPts val="0"/>
            </a:spcAft>
            <a:buClrTx/>
            <a:buSzTx/>
            <a:buFontTx/>
            <a:buNone/>
            <a:tabLst/>
            <a:defRPr sz="1000"/>
          </a:pPr>
          <a:r>
            <a:rPr kumimoji="0" lang="en-US" sz="1100" b="0" i="0" u="none" strike="noStrike" kern="0" cap="none" spc="0" normalizeH="0" baseline="0" noProof="0">
              <a:ln>
                <a:noFill/>
              </a:ln>
              <a:solidFill>
                <a:srgbClr val="000000"/>
              </a:solidFill>
              <a:effectLst/>
              <a:uLnTx/>
              <a:uFillTx/>
              <a:latin typeface="Arial"/>
              <a:ea typeface="+mn-ea"/>
              <a:cs typeface="Arial"/>
            </a:rPr>
            <a:t>(916) 550-1048</a:t>
          </a:r>
          <a:endParaRPr kumimoji="0" lang="en-US" sz="1050" b="0" i="0" u="none" strike="noStrike" kern="0" cap="none" spc="0" normalizeH="0" baseline="0" noProof="0">
            <a:ln>
              <a:noFill/>
            </a:ln>
            <a:solidFill>
              <a:srgbClr val="000000"/>
            </a:solidFill>
            <a:effectLst/>
            <a:uLnTx/>
            <a:uFillTx/>
            <a:latin typeface="Arial"/>
            <a:ea typeface="+mn-ea"/>
            <a:cs typeface="Arial"/>
          </a:endParaRPr>
        </a:p>
        <a:p>
          <a:pPr algn="l" rtl="0">
            <a:defRPr sz="1000"/>
          </a:pPr>
          <a:endParaRPr lang="en-US"/>
        </a:p>
      </xdr:txBody>
    </xdr:sp>
    <xdr:clientData/>
  </xdr:twoCellAnchor>
  <xdr:twoCellAnchor editAs="absolute">
    <xdr:from>
      <xdr:col>0</xdr:col>
      <xdr:colOff>209550</xdr:colOff>
      <xdr:row>0</xdr:row>
      <xdr:rowOff>57150</xdr:rowOff>
    </xdr:from>
    <xdr:to>
      <xdr:col>0</xdr:col>
      <xdr:colOff>910590</xdr:colOff>
      <xdr:row>0</xdr:row>
      <xdr:rowOff>1024890</xdr:rowOff>
    </xdr:to>
    <xdr:pic>
      <xdr:nvPicPr>
        <xdr:cNvPr id="3" name="Image 4">
          <a:extLst>
            <a:ext uri="{FF2B5EF4-FFF2-40B4-BE49-F238E27FC236}">
              <a16:creationId xmlns:a16="http://schemas.microsoft.com/office/drawing/2014/main" id="{605F1208-5D83-4A78-82E6-13C300A9FE7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9550" y="57150"/>
          <a:ext cx="701040" cy="967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314325</xdr:colOff>
      <xdr:row>0</xdr:row>
      <xdr:rowOff>85724</xdr:rowOff>
    </xdr:from>
    <xdr:to>
      <xdr:col>11</xdr:col>
      <xdr:colOff>352425</xdr:colOff>
      <xdr:row>33</xdr:row>
      <xdr:rowOff>66674</xdr:rowOff>
    </xdr:to>
    <xdr:sp macro="" textlink="">
      <xdr:nvSpPr>
        <xdr:cNvPr id="5121" name="Text Box 1">
          <a:extLst>
            <a:ext uri="{FF2B5EF4-FFF2-40B4-BE49-F238E27FC236}">
              <a16:creationId xmlns:a16="http://schemas.microsoft.com/office/drawing/2014/main" id="{0285FC40-BDC9-0306-60FA-665A128ED0D7}"/>
            </a:ext>
          </a:extLst>
        </xdr:cNvPr>
        <xdr:cNvSpPr txBox="1">
          <a:spLocks noChangeArrowheads="1"/>
        </xdr:cNvSpPr>
      </xdr:nvSpPr>
      <xdr:spPr bwMode="auto">
        <a:xfrm>
          <a:off x="314325" y="85724"/>
          <a:ext cx="6743700" cy="532447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FF" mc:Ignorable="a14" a14:legacySpreadsheetColorIndex="39"/>
          </a:solidFill>
          <a:miter lim="800000"/>
          <a:headEnd/>
          <a:tailEnd/>
        </a:ln>
      </xdr:spPr>
      <xdr:txBody>
        <a:bodyPr vertOverflow="clip" wrap="square" lIns="27432" tIns="22860" rIns="0" bIns="22860" anchor="ctr" upright="1"/>
        <a:lstStyle/>
        <a:p>
          <a:pPr algn="l" rtl="0">
            <a:defRPr sz="1000"/>
          </a:pPr>
          <a:r>
            <a:rPr lang="en-US" sz="1000" b="0" i="0" u="none" strike="noStrike" baseline="0">
              <a:solidFill>
                <a:srgbClr val="000000"/>
              </a:solidFill>
              <a:latin typeface="Arial"/>
              <a:cs typeface="Arial"/>
            </a:rPr>
            <a:t>Last updated: 05-Jan-2023
This template is an example of a multi-sample final report that can be created by exporting MSC-LIMS' Sample Sumary report.  The template lists each sample on a separate worksheet.  A separate QC worksheet lists all QC data for all samples.  When the Remove Infrastructure option is enabled,  all sample worksheets and the QC worksheet are selected so each sample and the QC data prints beginning on a new page.  To try the template, preview a multiple-sample sample summary report, use File | Export to MS Excel Template then select this template.
The Sample1 worksheet, which is copied for each additional sample exported, intentionally uses many columns with a small column width to give greater control over the layout of the report's header rows.  The template's Settings worksheet has important configuration options which can be used to exclude "internal data" analyses and to remove all infrastructure worksheets.  You can create your own final reports by copying this template and modifying the Sample1 worksheet.  The Sample1 worksheet uses formulas to display sample characteristics, customer information, and analysis results.  After exporting a sample summary report to this template, explore the workbook's worksheets for the data available for your report.
The LIMSData worksheet, which contains sample characteristics for each sample, is populated by the LIMS when exporting the Sample Summary report. The AfterTransferFromLIMS macro populates the AnalysisData, and Customer worksheets by reading data from the LIMS.  The macro then inserts a row on the Sample1 worksheet and copies the formulas in the sheet's OneAnalysisResults named range vertically, once for each sample analysis queried from the LIMS.   Analysis data is displayed on the Sample1 worksheet using formulas defined within the sheet's OneAnalysisResult named range.
To alter the report layout, no changes to the macro should be necessary.  Simply modify the formulas and formats on the Sample1 worksheet.  To view the VBA code in the AfterTransferFromLIMS macro, use Alt+F11 to open the VBA editor, then double-click on the LIMSData worksheet under Microsoft Excel Objects in the VBA Project window.  Note that macro text in green are comments.
J Street Technology
16625 Redmond Way Ste M PMB 463
Redmond, WA 98052
425-679-6206
jstreetlims.com
support@jstreetlims.com</a:t>
          </a:r>
          <a:endParaRPr lang="en-US"/>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CofA"/>
  <dimension ref="A1:I53"/>
  <sheetViews>
    <sheetView tabSelected="1" topLeftCell="A2" zoomScaleNormal="100" workbookViewId="0">
      <selection activeCell="G53" sqref="G53"/>
    </sheetView>
  </sheetViews>
  <sheetFormatPr defaultColWidth="2.7109375" defaultRowHeight="12.75" x14ac:dyDescent="0.2"/>
  <cols>
    <col min="1" max="1" width="18" customWidth="1"/>
    <col min="2" max="2" width="17.7109375" customWidth="1"/>
    <col min="3" max="3" width="14.140625" customWidth="1"/>
    <col min="4" max="4" width="15" customWidth="1"/>
    <col min="5" max="5" width="11.85546875" customWidth="1"/>
    <col min="6" max="6" width="8" customWidth="1"/>
    <col min="7" max="7" width="10.42578125" customWidth="1"/>
    <col min="8" max="8" width="12.140625" style="11" customWidth="1"/>
    <col min="9" max="9" width="10.140625" customWidth="1"/>
  </cols>
  <sheetData>
    <row r="1" spans="1:9" s="3" customFormat="1" ht="11.25" hidden="1" customHeight="1" x14ac:dyDescent="0.2">
      <c r="A1" s="3">
        <f ca="1">SheetNumber()</f>
        <v>1</v>
      </c>
      <c r="B1" s="3">
        <f ca="1">MATCH(INDEX(SampleID, A1), AnalysisSampleID, 0)</f>
        <v>1</v>
      </c>
      <c r="H1" s="10"/>
    </row>
    <row r="2" spans="1:9" s="3" customFormat="1" ht="61.5" customHeight="1" x14ac:dyDescent="0.2">
      <c r="H2" s="10"/>
    </row>
    <row r="3" spans="1:9" x14ac:dyDescent="0.2">
      <c r="A3" s="20" t="s">
        <v>4</v>
      </c>
      <c r="B3" s="22">
        <f ca="1">IF(ISERROR(INDEX(ReceivedDate,$A$1)), "", IF(ISBLANK(INDEX(ReceivedDate,$A$1)), "", INDEX(ReceivedDate,$A$1)))</f>
        <v>45569</v>
      </c>
      <c r="D3" s="20" t="s">
        <v>5</v>
      </c>
      <c r="E3" s="41" t="str">
        <f ca="1">IF(ISERROR(INDEX(Customer.Name,$A$1)), "", IF(ISBLANK(INDEX(Customer.Name,$A$1)), "", INDEX(Customer.Name,$A$1)))</f>
        <v>Big Valley</v>
      </c>
      <c r="F3" s="10"/>
      <c r="G3" s="3"/>
    </row>
    <row r="4" spans="1:9" ht="13.15" customHeight="1" x14ac:dyDescent="0.2">
      <c r="A4" s="20" t="s">
        <v>35</v>
      </c>
      <c r="B4" s="46">
        <f ca="1">IF(ISERROR(INDEX(ReceivedTime,$A$1)), "", IF(ISBLANK(INDEX(ReceivedTime,$A$1)), "", INDEX(ReceivedTime,$A$1)))</f>
        <v>0.38541666666666669</v>
      </c>
      <c r="C4" s="3"/>
      <c r="D4" s="20" t="s">
        <v>17</v>
      </c>
      <c r="E4" s="41" t="str">
        <f ca="1">IF(ISERROR(INDEX(Project.Name,$A$1)), "", IF(ISBLANK(INDEX(Project.Name,$A$1)), "", INDEX(Project.Name,$A$1)))</f>
        <v>HABs</v>
      </c>
    </row>
    <row r="5" spans="1:9" ht="12.75" customHeight="1" x14ac:dyDescent="0.2">
      <c r="A5" s="20" t="s">
        <v>36</v>
      </c>
      <c r="B5" s="22" t="str">
        <f ca="1">IF(ISERROR(INDEX(SampleType.Name,$A$1)), "", IF(ISBLANK(INDEX(SampleType.Name,$A$1)), "", INDEX(SampleType.Name,$A$1)))</f>
        <v>Water Grab</v>
      </c>
      <c r="C5" s="19"/>
      <c r="D5" s="20" t="s">
        <v>25</v>
      </c>
      <c r="E5" s="3" t="str">
        <f ca="1">IF(ISERROR(INDEX(Location.Name,$A$1)), "", IF(ISBLANK(INDEX(Location.Name,$A$1)), "", INDEX(Location.Name,$A$1)))</f>
        <v>HB</v>
      </c>
      <c r="F5" s="10"/>
      <c r="G5" s="3"/>
    </row>
    <row r="6" spans="1:9" ht="12.75" customHeight="1" x14ac:dyDescent="0.2">
      <c r="A6" s="20" t="s">
        <v>16</v>
      </c>
      <c r="B6" s="10" t="str">
        <f ca="1">IF(ISERROR(INDEX(Description,$A$1)), "", IF(ISBLANK(INDEX(Description,$A$1)), "", INDEX(Description,$A$1)))</f>
        <v>BV1306</v>
      </c>
      <c r="C6" s="46"/>
      <c r="D6" s="20" t="s">
        <v>9</v>
      </c>
      <c r="E6" s="65">
        <f ca="1">IF(ISERROR(INDEX(CollectedDateTime,$A$1)), "", IF(ISBLANK(INDEX(CollectedDateTime,$A$1)), "", INDEX(CollectedDateTime,$A$1)))</f>
        <v>45567.431250000001</v>
      </c>
      <c r="F6" s="65"/>
      <c r="G6" s="3"/>
    </row>
    <row r="7" spans="1:9" ht="12.75" customHeight="1" x14ac:dyDescent="0.2">
      <c r="A7" s="20" t="s">
        <v>24</v>
      </c>
      <c r="B7" s="21">
        <f ca="1">NOW()</f>
        <v>45580.517125694445</v>
      </c>
      <c r="C7" s="3"/>
      <c r="D7" s="11"/>
    </row>
    <row r="8" spans="1:9" ht="12.75" customHeight="1" x14ac:dyDescent="0.2">
      <c r="C8" s="3"/>
      <c r="D8" s="20" t="s">
        <v>13</v>
      </c>
      <c r="E8" s="10" t="str">
        <f ca="1">IF(ISERROR(INDEX(CustomerSampleID,$A$1)), "", IF(ISBLANK(INDEX(CustomerSampleID,$A$1)), "", INDEX(CustomerSampleID,$A$1)))</f>
        <v>2827</v>
      </c>
    </row>
    <row r="9" spans="1:9" ht="12.75" customHeight="1" x14ac:dyDescent="0.2">
      <c r="C9" s="3"/>
      <c r="F9" s="18"/>
      <c r="G9" s="23"/>
      <c r="H9" s="10"/>
    </row>
    <row r="10" spans="1:9" x14ac:dyDescent="0.2">
      <c r="A10" s="33" t="s">
        <v>33</v>
      </c>
      <c r="B10" s="3"/>
      <c r="C10" s="3"/>
      <c r="D10" s="3"/>
      <c r="F10" s="3"/>
      <c r="G10" s="3"/>
      <c r="H10" s="10"/>
    </row>
    <row r="11" spans="1:9" s="7" customFormat="1" ht="15.75" customHeight="1" x14ac:dyDescent="0.2">
      <c r="A11" s="50" t="s">
        <v>8</v>
      </c>
      <c r="B11" s="26" t="s">
        <v>14</v>
      </c>
      <c r="C11" s="26" t="s">
        <v>6</v>
      </c>
      <c r="D11" s="32" t="s">
        <v>39</v>
      </c>
      <c r="E11" s="26" t="s">
        <v>7</v>
      </c>
      <c r="F11" s="26" t="s">
        <v>31</v>
      </c>
      <c r="G11" s="58" t="s">
        <v>27</v>
      </c>
      <c r="I11" s="9"/>
    </row>
    <row r="12" spans="1:9" s="3" customFormat="1" ht="19.899999999999999" customHeight="1" x14ac:dyDescent="0.2">
      <c r="A12" s="17" t="str">
        <f ca="1">IF(ISBLANK(INDEX(Method.Name, ROW() - ROW(OneAnalysisResults) + $B$1)), "",INDEX(Method.Name, ROW() - ROW(OneAnalysisResults) + $B$1))</f>
        <v>QPCR</v>
      </c>
      <c r="B12" s="17" t="str">
        <f ca="1">IF(ISBLANK(INDEX(AnalyteReportName, ROW() - ROW(OneAnalysisResults) + $B$1)), "",INDEX(AnalyteReportName, ROW() - ROW(OneAnalysisResults) + $B$1))</f>
        <v>Microcystin</v>
      </c>
      <c r="C12" s="17" t="str">
        <f ca="1">IF(ISBLANK(INDEX(AnalysisResultFormatted, ROW() - ROW(OneAnalysisResults) + $B$1)), "",INDEX(AnalysisResultFormatted, ROW() - ROW(OneAnalysisResults) + $B$1))</f>
        <v>3,304</v>
      </c>
      <c r="D12" s="17">
        <f ca="1">IF(ISBLANK(INDEX(DilutionFactor, ROW() - ROW(OneAnalysisResults) + $B$1)), "",INDEX(DilutionFactor, ROW() - ROW(OneAnalysisResults) + $B$1))</f>
        <v>100</v>
      </c>
      <c r="E12" s="17" t="str">
        <f ca="1">IF(ISBLANK(INDEX(Abbreviation, ROW() - ROW(OneAnalysisResults) + $B$1)), "",INDEX(Abbreviation, ROW() - ROW(OneAnalysisResults) + $B$1))</f>
        <v>copies/mL</v>
      </c>
      <c r="F12" s="17"/>
      <c r="G12" s="17"/>
    </row>
    <row r="13" spans="1:9" s="3" customFormat="1" ht="19.899999999999999" customHeight="1" x14ac:dyDescent="0.2">
      <c r="A13" s="17"/>
      <c r="B13" s="17"/>
      <c r="C13" s="17"/>
      <c r="D13" s="17"/>
      <c r="E13" s="17"/>
      <c r="F13" s="17"/>
      <c r="G13" s="17"/>
    </row>
    <row r="14" spans="1:9" ht="12" customHeight="1" x14ac:dyDescent="0.2">
      <c r="B14" s="3"/>
      <c r="C14" s="3"/>
      <c r="E14" s="3"/>
      <c r="F14" s="45"/>
      <c r="G14" s="17"/>
      <c r="H14" s="10"/>
    </row>
    <row r="15" spans="1:9" x14ac:dyDescent="0.2">
      <c r="A15" s="3"/>
      <c r="C15" s="3"/>
      <c r="D15" s="3"/>
      <c r="E15" s="3"/>
      <c r="F15" s="17"/>
      <c r="G15" s="17"/>
      <c r="H15" s="10"/>
    </row>
    <row r="16" spans="1:9" x14ac:dyDescent="0.2">
      <c r="A16" s="3"/>
      <c r="B16" s="3"/>
      <c r="C16" s="3"/>
      <c r="D16" s="3"/>
      <c r="E16" s="3"/>
      <c r="F16" s="3"/>
      <c r="G16" s="17"/>
      <c r="H16" s="10"/>
    </row>
    <row r="17" spans="1:9" x14ac:dyDescent="0.2">
      <c r="A17" s="3"/>
      <c r="B17" s="3"/>
      <c r="C17" s="3"/>
      <c r="D17" s="3"/>
      <c r="E17" s="3"/>
      <c r="F17" s="3"/>
      <c r="G17" s="17"/>
      <c r="H17" s="10"/>
    </row>
    <row r="18" spans="1:9" x14ac:dyDescent="0.2">
      <c r="A18" s="24"/>
      <c r="B18" s="24"/>
      <c r="C18" s="24"/>
      <c r="D18" s="3"/>
      <c r="E18" s="18"/>
      <c r="F18" s="18"/>
      <c r="G18" s="18"/>
      <c r="H18" s="3"/>
      <c r="I18" s="11"/>
    </row>
    <row r="19" spans="1:9" x14ac:dyDescent="0.2">
      <c r="A19" s="24"/>
      <c r="B19" s="24"/>
      <c r="C19" s="24"/>
      <c r="D19" s="3"/>
      <c r="E19" s="18"/>
      <c r="F19" s="18"/>
      <c r="G19" s="18"/>
      <c r="H19" s="3"/>
      <c r="I19" s="11"/>
    </row>
    <row r="20" spans="1:9" x14ac:dyDescent="0.2">
      <c r="A20" s="24"/>
      <c r="B20" s="24"/>
      <c r="C20" s="24"/>
      <c r="D20" s="3"/>
      <c r="E20" s="3"/>
      <c r="F20" s="3"/>
      <c r="G20" s="3"/>
      <c r="H20" s="10"/>
    </row>
    <row r="21" spans="1:9" x14ac:dyDescent="0.2">
      <c r="A21" s="3"/>
      <c r="B21" s="3"/>
      <c r="C21" s="3"/>
      <c r="D21" s="3"/>
      <c r="E21" s="3"/>
      <c r="F21" s="3"/>
      <c r="G21" s="3"/>
      <c r="H21" s="10"/>
    </row>
    <row r="22" spans="1:9" x14ac:dyDescent="0.2">
      <c r="A22" s="3"/>
      <c r="B22" s="3"/>
      <c r="C22" s="3"/>
      <c r="D22" s="3"/>
      <c r="E22" s="3"/>
      <c r="F22" s="3"/>
      <c r="G22" s="3"/>
      <c r="H22" s="10"/>
    </row>
    <row r="23" spans="1:9" x14ac:dyDescent="0.2">
      <c r="A23" s="3"/>
      <c r="B23" s="3"/>
      <c r="C23" s="3"/>
      <c r="D23" s="3"/>
      <c r="E23" s="3"/>
      <c r="F23" s="3"/>
      <c r="G23" s="3"/>
      <c r="H23" s="10"/>
    </row>
    <row r="24" spans="1:9" x14ac:dyDescent="0.2">
      <c r="A24" s="3"/>
      <c r="B24" s="3"/>
      <c r="C24" s="3"/>
      <c r="D24" s="3"/>
      <c r="E24" s="3"/>
      <c r="F24" s="3"/>
      <c r="G24" s="3"/>
      <c r="H24" s="10"/>
    </row>
    <row r="25" spans="1:9" x14ac:dyDescent="0.2">
      <c r="A25" s="3"/>
      <c r="B25" s="3"/>
      <c r="C25" s="3"/>
      <c r="D25" s="3"/>
      <c r="E25" s="3"/>
      <c r="F25" s="3"/>
      <c r="G25" s="3"/>
      <c r="H25" s="10"/>
    </row>
    <row r="26" spans="1:9" x14ac:dyDescent="0.2">
      <c r="A26" s="3"/>
      <c r="B26" s="3"/>
      <c r="C26" s="3"/>
      <c r="D26" s="3"/>
      <c r="E26" s="3"/>
      <c r="F26" s="3"/>
      <c r="G26" s="3"/>
      <c r="H26" s="10"/>
    </row>
    <row r="27" spans="1:9" x14ac:dyDescent="0.2">
      <c r="A27" s="3"/>
      <c r="B27" s="3"/>
      <c r="C27" s="3"/>
      <c r="D27" s="3"/>
      <c r="E27" s="3"/>
      <c r="F27" s="3"/>
      <c r="G27" s="3"/>
    </row>
    <row r="28" spans="1:9" x14ac:dyDescent="0.2">
      <c r="A28" s="3"/>
      <c r="B28" s="3"/>
      <c r="C28" s="3"/>
      <c r="D28" s="3"/>
      <c r="E28" s="3"/>
      <c r="F28" s="3"/>
      <c r="G28" s="3"/>
    </row>
    <row r="29" spans="1:9" x14ac:dyDescent="0.2">
      <c r="A29" s="3"/>
      <c r="B29" s="3"/>
      <c r="C29" s="3"/>
      <c r="D29" s="3"/>
      <c r="E29" s="3"/>
      <c r="F29" s="3"/>
      <c r="G29" s="3"/>
    </row>
    <row r="30" spans="1:9" x14ac:dyDescent="0.2">
      <c r="A30" s="3"/>
      <c r="B30" s="3"/>
      <c r="C30" s="3"/>
      <c r="D30" s="3"/>
      <c r="E30" s="3"/>
      <c r="F30" s="3"/>
      <c r="G30" s="3"/>
    </row>
    <row r="31" spans="1:9" x14ac:dyDescent="0.2">
      <c r="A31" s="3"/>
      <c r="B31" s="3"/>
      <c r="C31" s="3"/>
      <c r="D31" s="3"/>
      <c r="E31" s="3"/>
      <c r="F31" s="3"/>
      <c r="G31" s="43"/>
    </row>
    <row r="32" spans="1:9" x14ac:dyDescent="0.2">
      <c r="A32" s="3"/>
      <c r="B32" s="3"/>
      <c r="C32" s="3"/>
      <c r="D32" s="3"/>
      <c r="E32" s="3"/>
      <c r="F32" s="3"/>
      <c r="G32" s="43"/>
    </row>
    <row r="33" spans="1:7" x14ac:dyDescent="0.2">
      <c r="A33" s="3"/>
      <c r="B33" s="3"/>
      <c r="C33" s="3"/>
      <c r="D33" s="3"/>
      <c r="E33" s="3"/>
      <c r="F33" s="3"/>
      <c r="G33" s="43"/>
    </row>
    <row r="34" spans="1:7" x14ac:dyDescent="0.2">
      <c r="A34" s="3"/>
      <c r="B34" s="3"/>
      <c r="C34" s="3"/>
      <c r="D34" s="3"/>
      <c r="E34" s="3"/>
      <c r="F34" s="3"/>
      <c r="G34" s="43"/>
    </row>
    <row r="35" spans="1:7" x14ac:dyDescent="0.2">
      <c r="A35" s="3"/>
      <c r="B35" s="3"/>
      <c r="C35" s="3"/>
      <c r="D35" s="3"/>
      <c r="E35" s="3"/>
      <c r="F35" s="3"/>
    </row>
    <row r="36" spans="1:7" x14ac:dyDescent="0.2">
      <c r="A36" s="3"/>
      <c r="B36" s="3"/>
      <c r="C36" s="3"/>
      <c r="D36" s="3"/>
      <c r="E36" s="3"/>
      <c r="F36" s="3"/>
      <c r="G36" s="43"/>
    </row>
    <row r="37" spans="1:7" x14ac:dyDescent="0.2">
      <c r="A37" s="3"/>
      <c r="B37" s="3"/>
      <c r="C37" s="3"/>
      <c r="D37" s="3"/>
      <c r="E37" s="3"/>
      <c r="F37" s="3"/>
      <c r="G37" s="43"/>
    </row>
    <row r="38" spans="1:7" x14ac:dyDescent="0.2">
      <c r="A38" s="3"/>
      <c r="B38" s="3"/>
      <c r="C38" s="3"/>
      <c r="D38" s="3"/>
      <c r="E38" s="3"/>
      <c r="F38" s="3"/>
      <c r="G38" s="44"/>
    </row>
    <row r="39" spans="1:7" x14ac:dyDescent="0.2">
      <c r="A39" s="3"/>
      <c r="B39" s="3"/>
      <c r="C39" s="3"/>
      <c r="D39" s="3"/>
      <c r="E39" s="3"/>
      <c r="F39" s="3"/>
      <c r="G39" s="43"/>
    </row>
    <row r="40" spans="1:7" x14ac:dyDescent="0.2">
      <c r="A40" s="3"/>
      <c r="B40" s="3"/>
      <c r="C40" s="3"/>
      <c r="D40" s="3"/>
      <c r="E40" s="3"/>
      <c r="F40" s="3"/>
    </row>
    <row r="41" spans="1:7" x14ac:dyDescent="0.2">
      <c r="A41" s="3"/>
      <c r="B41" s="3"/>
      <c r="C41" s="3"/>
      <c r="D41" s="3"/>
      <c r="E41" s="3"/>
      <c r="F41" s="3"/>
      <c r="G41" s="43"/>
    </row>
    <row r="42" spans="1:7" x14ac:dyDescent="0.2">
      <c r="A42" s="3"/>
      <c r="B42" s="3"/>
      <c r="C42" s="3"/>
      <c r="D42" s="3"/>
      <c r="E42" s="3"/>
      <c r="F42" s="3"/>
      <c r="G42" s="43"/>
    </row>
    <row r="43" spans="1:7" x14ac:dyDescent="0.2">
      <c r="A43" s="3"/>
      <c r="B43" s="3"/>
      <c r="C43" s="3"/>
      <c r="D43" s="3"/>
      <c r="E43" s="3"/>
      <c r="F43" s="3"/>
      <c r="G43" s="43"/>
    </row>
    <row r="44" spans="1:7" x14ac:dyDescent="0.2">
      <c r="A44" s="3"/>
      <c r="B44" s="3"/>
      <c r="C44" s="3"/>
      <c r="D44" s="3"/>
      <c r="E44" s="3"/>
      <c r="F44" s="3"/>
      <c r="G44" s="43"/>
    </row>
    <row r="45" spans="1:7" x14ac:dyDescent="0.2">
      <c r="A45" s="3"/>
      <c r="B45" s="3"/>
      <c r="C45" s="3"/>
      <c r="D45" s="3"/>
      <c r="E45" s="3"/>
      <c r="F45" s="3"/>
      <c r="G45" s="43"/>
    </row>
    <row r="46" spans="1:7" x14ac:dyDescent="0.2">
      <c r="A46" s="3"/>
      <c r="B46" s="3"/>
      <c r="C46" s="3"/>
      <c r="D46" s="3"/>
      <c r="E46" s="3"/>
      <c r="F46" s="3"/>
      <c r="G46" s="43"/>
    </row>
    <row r="47" spans="1:7" x14ac:dyDescent="0.2">
      <c r="G47" s="44"/>
    </row>
    <row r="53" spans="7:7" x14ac:dyDescent="0.2">
      <c r="G53" s="43" t="s">
        <v>370</v>
      </c>
    </row>
  </sheetData>
  <mergeCells count="1">
    <mergeCell ref="E6:F6"/>
  </mergeCells>
  <phoneticPr fontId="2" type="noConversion"/>
  <conditionalFormatting sqref="B12:B13">
    <cfRule type="cellIs" dxfId="12" priority="5" stopIfTrue="1" operator="equal">
      <formula>#REF!</formula>
    </cfRule>
  </conditionalFormatting>
  <pageMargins left="0.5" right="0.5" top="0.5" bottom="0.5" header="0.5" footer="0.5"/>
  <pageSetup firstPageNumber="2" fitToHeight="0" orientation="portrait" r:id="rId1"/>
  <headerFooter alignWithMargins="0"/>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4EA3B-2810-4756-8B25-0F6728D90B2D}">
  <sheetPr codeName="CofA1"/>
  <dimension ref="A1:I53"/>
  <sheetViews>
    <sheetView topLeftCell="A2" zoomScaleNormal="100" workbookViewId="0">
      <selection activeCell="G53" sqref="G53"/>
    </sheetView>
  </sheetViews>
  <sheetFormatPr defaultColWidth="2.7109375" defaultRowHeight="12.75" x14ac:dyDescent="0.2"/>
  <cols>
    <col min="1" max="1" width="18" customWidth="1"/>
    <col min="2" max="2" width="17.7109375" customWidth="1"/>
    <col min="3" max="3" width="14.140625" customWidth="1"/>
    <col min="4" max="4" width="15" customWidth="1"/>
    <col min="5" max="5" width="11.85546875" customWidth="1"/>
    <col min="6" max="6" width="8" customWidth="1"/>
    <col min="7" max="7" width="10.42578125" customWidth="1"/>
    <col min="8" max="8" width="12.140625" style="11" customWidth="1"/>
    <col min="9" max="9" width="10.140625" customWidth="1"/>
  </cols>
  <sheetData>
    <row r="1" spans="1:9" s="3" customFormat="1" ht="11.25" hidden="1" customHeight="1" x14ac:dyDescent="0.2">
      <c r="A1" s="3">
        <f ca="1">SheetNumber()</f>
        <v>2</v>
      </c>
      <c r="B1" s="3">
        <f ca="1">MATCH(INDEX(SampleID, A1), AnalysisSampleID, 0)</f>
        <v>2</v>
      </c>
      <c r="H1" s="10"/>
    </row>
    <row r="2" spans="1:9" s="3" customFormat="1" ht="61.5" customHeight="1" x14ac:dyDescent="0.2">
      <c r="H2" s="10"/>
    </row>
    <row r="3" spans="1:9" x14ac:dyDescent="0.2">
      <c r="A3" s="20" t="s">
        <v>4</v>
      </c>
      <c r="B3" s="22">
        <f ca="1">IF(ISERROR(INDEX(ReceivedDate,$A$1)), "", IF(ISBLANK(INDEX(ReceivedDate,$A$1)), "", INDEX(ReceivedDate,$A$1)))</f>
        <v>45569</v>
      </c>
      <c r="D3" s="20" t="s">
        <v>5</v>
      </c>
      <c r="E3" s="41" t="str">
        <f ca="1">IF(ISERROR(INDEX(Customer.Name,$A$1)), "", IF(ISBLANK(INDEX(Customer.Name,$A$1)), "", INDEX(Customer.Name,$A$1)))</f>
        <v>Big Valley</v>
      </c>
      <c r="F3" s="10"/>
      <c r="G3" s="3"/>
    </row>
    <row r="4" spans="1:9" ht="13.15" customHeight="1" x14ac:dyDescent="0.2">
      <c r="A4" s="20" t="s">
        <v>35</v>
      </c>
      <c r="B4" s="46">
        <f ca="1">IF(ISERROR(INDEX(ReceivedTime,$A$1)), "", IF(ISBLANK(INDEX(ReceivedTime,$A$1)), "", INDEX(ReceivedTime,$A$1)))</f>
        <v>0.38541666666666669</v>
      </c>
      <c r="C4" s="3"/>
      <c r="D4" s="20" t="s">
        <v>17</v>
      </c>
      <c r="E4" s="41" t="str">
        <f ca="1">IF(ISERROR(INDEX(Project.Name,$A$1)), "", IF(ISBLANK(INDEX(Project.Name,$A$1)), "", INDEX(Project.Name,$A$1)))</f>
        <v>HABs</v>
      </c>
    </row>
    <row r="5" spans="1:9" ht="12.75" customHeight="1" x14ac:dyDescent="0.2">
      <c r="A5" s="20" t="s">
        <v>36</v>
      </c>
      <c r="B5" s="22" t="str">
        <f ca="1">IF(ISERROR(INDEX(SampleType.Name,$A$1)), "", IF(ISBLANK(INDEX(SampleType.Name,$A$1)), "", INDEX(SampleType.Name,$A$1)))</f>
        <v>Water Grab</v>
      </c>
      <c r="C5" s="19"/>
      <c r="D5" s="20" t="s">
        <v>25</v>
      </c>
      <c r="E5" s="3" t="str">
        <f ca="1">IF(ISERROR(INDEX(Location.Name,$A$1)), "", IF(ISBLANK(INDEX(Location.Name,$A$1)), "", INDEX(Location.Name,$A$1)))</f>
        <v>CLV7</v>
      </c>
      <c r="F5" s="10"/>
      <c r="G5" s="3"/>
    </row>
    <row r="6" spans="1:9" ht="12.75" customHeight="1" x14ac:dyDescent="0.2">
      <c r="A6" s="20" t="s">
        <v>16</v>
      </c>
      <c r="B6" s="10" t="str">
        <f ca="1">IF(ISERROR(INDEX(Description,$A$1)), "", IF(ISBLANK(INDEX(Description,$A$1)), "", INDEX(Description,$A$1)))</f>
        <v>BV1307</v>
      </c>
      <c r="C6" s="46"/>
      <c r="D6" s="20" t="s">
        <v>9</v>
      </c>
      <c r="E6" s="65">
        <f ca="1">IF(ISERROR(INDEX(CollectedDateTime,$A$1)), "", IF(ISBLANK(INDEX(CollectedDateTime,$A$1)), "", INDEX(CollectedDateTime,$A$1)))</f>
        <v>45567.411805555559</v>
      </c>
      <c r="F6" s="65"/>
      <c r="G6" s="3"/>
    </row>
    <row r="7" spans="1:9" ht="12.75" customHeight="1" x14ac:dyDescent="0.2">
      <c r="A7" s="20" t="s">
        <v>24</v>
      </c>
      <c r="B7" s="21">
        <f ca="1">NOW()</f>
        <v>45580.517125694445</v>
      </c>
      <c r="C7" s="3"/>
      <c r="D7" s="11"/>
    </row>
    <row r="8" spans="1:9" ht="12.75" customHeight="1" x14ac:dyDescent="0.2">
      <c r="C8" s="3"/>
      <c r="D8" s="20" t="s">
        <v>13</v>
      </c>
      <c r="E8" s="10" t="str">
        <f ca="1">IF(ISERROR(INDEX(CustomerSampleID,$A$1)), "", IF(ISBLANK(INDEX(CustomerSampleID,$A$1)), "", INDEX(CustomerSampleID,$A$1)))</f>
        <v>2828</v>
      </c>
    </row>
    <row r="9" spans="1:9" ht="12.75" customHeight="1" x14ac:dyDescent="0.2">
      <c r="C9" s="3"/>
      <c r="F9" s="18"/>
      <c r="G9" s="23"/>
      <c r="H9" s="10"/>
    </row>
    <row r="10" spans="1:9" x14ac:dyDescent="0.2">
      <c r="A10" s="33" t="s">
        <v>33</v>
      </c>
      <c r="B10" s="3"/>
      <c r="C10" s="3"/>
      <c r="D10" s="3"/>
      <c r="F10" s="3"/>
      <c r="G10" s="3"/>
      <c r="H10" s="10"/>
    </row>
    <row r="11" spans="1:9" s="7" customFormat="1" ht="15.75" customHeight="1" x14ac:dyDescent="0.2">
      <c r="A11" s="50" t="s">
        <v>8</v>
      </c>
      <c r="B11" s="26" t="s">
        <v>14</v>
      </c>
      <c r="C11" s="26" t="s">
        <v>6</v>
      </c>
      <c r="D11" s="32" t="s">
        <v>39</v>
      </c>
      <c r="E11" s="26" t="s">
        <v>7</v>
      </c>
      <c r="F11" s="26" t="s">
        <v>31</v>
      </c>
      <c r="G11" s="58" t="s">
        <v>27</v>
      </c>
      <c r="I11" s="9"/>
    </row>
    <row r="12" spans="1:9" s="3" customFormat="1" ht="19.899999999999999" customHeight="1" x14ac:dyDescent="0.2">
      <c r="A12" s="17" t="str">
        <f ca="1">IF(ISBLANK(INDEX(Method.Name, ROW() - ROW(OneAnalysisResults) + $B$1)), "",INDEX(Method.Name, ROW() - ROW(OneAnalysisResults) + $B$1))</f>
        <v>ELISA</v>
      </c>
      <c r="B12" s="17" t="str">
        <f ca="1">IF(ISBLANK(INDEX(AnalyteReportName, ROW() - ROW(OneAnalysisResults) + $B$1)), "",INDEX(AnalyteReportName, ROW() - ROW(OneAnalysisResults) + $B$1))</f>
        <v>Microcystin/Nod.</v>
      </c>
      <c r="C12" s="17" t="str">
        <f ca="1">IF(ISBLANK(INDEX(AnalysisResultFormatted, ROW() - ROW(OneAnalysisResults) + $B$1)), "",INDEX(AnalysisResultFormatted, ROW() - ROW(OneAnalysisResults) + $B$1))</f>
        <v>ND</v>
      </c>
      <c r="D12" s="17">
        <f ca="1">IF(ISBLANK(INDEX(DilutionFactor, ROW() - ROW(OneAnalysisResults) + $B$1)), "",INDEX(DilutionFactor, ROW() - ROW(OneAnalysisResults) + $B$1))</f>
        <v>0.15</v>
      </c>
      <c r="E12" s="17" t="str">
        <f ca="1">IF(ISBLANK(INDEX(Abbreviation, ROW() - ROW(OneAnalysisResults) + $B$1)), "",INDEX(Abbreviation, ROW() - ROW(OneAnalysisResults) + $B$1))</f>
        <v>μg/L</v>
      </c>
      <c r="F12" s="17" t="s">
        <v>22</v>
      </c>
      <c r="G12" s="17">
        <v>1</v>
      </c>
    </row>
    <row r="13" spans="1:9" s="3" customFormat="1" ht="19.899999999999999" customHeight="1" x14ac:dyDescent="0.2">
      <c r="A13" s="17"/>
      <c r="B13" s="17"/>
      <c r="C13" s="17"/>
      <c r="D13" s="17"/>
      <c r="E13" s="17"/>
      <c r="F13" s="17"/>
      <c r="G13" s="17"/>
    </row>
    <row r="14" spans="1:9" ht="12" customHeight="1" x14ac:dyDescent="0.2">
      <c r="B14" s="3"/>
      <c r="C14" s="3"/>
      <c r="E14" s="3"/>
      <c r="F14" s="45"/>
      <c r="G14" s="17"/>
      <c r="H14" s="10"/>
    </row>
    <row r="15" spans="1:9" x14ac:dyDescent="0.2">
      <c r="A15" s="3"/>
      <c r="C15" s="3"/>
      <c r="D15" s="3"/>
      <c r="E15" s="3"/>
      <c r="F15" s="17"/>
      <c r="G15" s="17"/>
      <c r="H15" s="10"/>
    </row>
    <row r="16" spans="1:9" x14ac:dyDescent="0.2">
      <c r="A16" s="3"/>
      <c r="B16" s="3"/>
      <c r="C16" s="3"/>
      <c r="D16" s="3"/>
      <c r="E16" s="3"/>
      <c r="F16" s="3"/>
      <c r="G16" s="17"/>
      <c r="H16" s="10"/>
    </row>
    <row r="17" spans="1:9" x14ac:dyDescent="0.2">
      <c r="A17" s="3"/>
      <c r="B17" s="3"/>
      <c r="C17" s="3"/>
      <c r="D17" s="3"/>
      <c r="E17" s="3"/>
      <c r="F17" s="3"/>
      <c r="G17" s="17"/>
      <c r="H17" s="10"/>
    </row>
    <row r="18" spans="1:9" x14ac:dyDescent="0.2">
      <c r="A18" s="24"/>
      <c r="B18" s="24"/>
      <c r="C18" s="24"/>
      <c r="D18" s="3"/>
      <c r="E18" s="18"/>
      <c r="F18" s="18"/>
      <c r="G18" s="18"/>
      <c r="H18" s="3"/>
      <c r="I18" s="11"/>
    </row>
    <row r="19" spans="1:9" x14ac:dyDescent="0.2">
      <c r="A19" s="24"/>
      <c r="B19" s="24"/>
      <c r="C19" s="24"/>
      <c r="D19" s="3"/>
      <c r="E19" s="3"/>
      <c r="F19" s="3"/>
      <c r="G19" s="3"/>
      <c r="H19" s="10"/>
    </row>
    <row r="20" spans="1:9" x14ac:dyDescent="0.2">
      <c r="A20" s="3"/>
      <c r="B20" s="3"/>
      <c r="C20" s="3"/>
      <c r="D20" s="3"/>
      <c r="E20" s="3"/>
      <c r="F20" s="3"/>
      <c r="G20" s="3"/>
      <c r="H20" s="10"/>
    </row>
    <row r="21" spans="1:9" x14ac:dyDescent="0.2">
      <c r="A21" s="3"/>
      <c r="B21" s="3"/>
      <c r="C21" s="3"/>
      <c r="D21" s="3"/>
      <c r="E21" s="3"/>
      <c r="F21" s="3"/>
      <c r="G21" s="3"/>
      <c r="H21" s="10"/>
    </row>
    <row r="22" spans="1:9" x14ac:dyDescent="0.2">
      <c r="A22" s="3"/>
      <c r="B22" s="3"/>
      <c r="C22" s="3"/>
      <c r="D22" s="3"/>
      <c r="E22" s="3"/>
      <c r="F22" s="3"/>
      <c r="G22" s="3"/>
      <c r="H22" s="10"/>
    </row>
    <row r="23" spans="1:9" x14ac:dyDescent="0.2">
      <c r="A23" s="3"/>
      <c r="B23" s="3"/>
      <c r="C23" s="3"/>
      <c r="D23" s="3"/>
      <c r="E23" s="3"/>
      <c r="F23" s="3"/>
      <c r="G23" s="3"/>
      <c r="H23" s="10"/>
    </row>
    <row r="24" spans="1:9" x14ac:dyDescent="0.2">
      <c r="A24" s="3"/>
      <c r="B24" s="3"/>
      <c r="C24" s="3"/>
      <c r="D24" s="3"/>
      <c r="E24" s="3"/>
      <c r="F24" s="3"/>
      <c r="G24" s="3"/>
      <c r="H24" s="10"/>
    </row>
    <row r="25" spans="1:9" x14ac:dyDescent="0.2">
      <c r="A25" s="3"/>
      <c r="B25" s="3"/>
      <c r="C25" s="3"/>
      <c r="D25" s="3"/>
      <c r="E25" s="3"/>
      <c r="F25" s="3"/>
      <c r="G25" s="3"/>
      <c r="H25" s="10"/>
    </row>
    <row r="26" spans="1:9" x14ac:dyDescent="0.2">
      <c r="A26" s="3"/>
      <c r="B26" s="3"/>
      <c r="C26" s="3"/>
      <c r="D26" s="3"/>
      <c r="E26" s="3"/>
      <c r="F26" s="3"/>
      <c r="G26" s="3"/>
    </row>
    <row r="27" spans="1:9" x14ac:dyDescent="0.2">
      <c r="A27" s="3"/>
      <c r="B27" s="3"/>
      <c r="C27" s="3"/>
      <c r="D27" s="3"/>
      <c r="E27" s="3"/>
      <c r="F27" s="3"/>
      <c r="G27" s="3"/>
    </row>
    <row r="28" spans="1:9" x14ac:dyDescent="0.2">
      <c r="A28" s="3"/>
      <c r="B28" s="3"/>
      <c r="C28" s="3"/>
      <c r="D28" s="3"/>
      <c r="E28" s="3"/>
      <c r="F28" s="3"/>
      <c r="G28" s="3"/>
    </row>
    <row r="29" spans="1:9" x14ac:dyDescent="0.2">
      <c r="A29" s="3"/>
      <c r="B29" s="3"/>
      <c r="C29" s="3"/>
      <c r="D29" s="3"/>
      <c r="E29" s="3"/>
      <c r="F29" s="3"/>
      <c r="G29" s="3"/>
    </row>
    <row r="30" spans="1:9" x14ac:dyDescent="0.2">
      <c r="A30" s="3"/>
      <c r="B30" s="3"/>
      <c r="C30" s="3"/>
      <c r="D30" s="3"/>
      <c r="E30" s="3"/>
      <c r="F30" s="3"/>
      <c r="G30" s="43"/>
    </row>
    <row r="31" spans="1:9" x14ac:dyDescent="0.2">
      <c r="A31" s="3"/>
      <c r="B31" s="3"/>
      <c r="C31" s="3"/>
      <c r="D31" s="3"/>
      <c r="E31" s="3"/>
      <c r="F31" s="3"/>
      <c r="G31" s="43"/>
    </row>
    <row r="32" spans="1:9" x14ac:dyDescent="0.2">
      <c r="A32" s="3"/>
      <c r="B32" s="3"/>
      <c r="C32" s="3"/>
      <c r="D32" s="3"/>
      <c r="E32" s="3"/>
      <c r="F32" s="3"/>
      <c r="G32" s="43"/>
    </row>
    <row r="33" spans="1:9" x14ac:dyDescent="0.2">
      <c r="A33" s="3"/>
      <c r="B33" s="3"/>
      <c r="C33" s="3"/>
      <c r="D33" s="3"/>
      <c r="E33" s="3"/>
      <c r="F33" s="3"/>
      <c r="G33" s="43"/>
    </row>
    <row r="34" spans="1:9" x14ac:dyDescent="0.2">
      <c r="A34" s="3"/>
      <c r="B34" s="3"/>
      <c r="C34" s="3"/>
      <c r="D34" s="3"/>
      <c r="E34" s="3"/>
      <c r="F34" s="3"/>
    </row>
    <row r="35" spans="1:9" x14ac:dyDescent="0.2">
      <c r="A35" s="3"/>
      <c r="B35" s="3"/>
      <c r="C35" s="3"/>
      <c r="D35" s="3"/>
      <c r="E35" s="3"/>
      <c r="F35" s="3"/>
      <c r="G35" s="43"/>
    </row>
    <row r="36" spans="1:9" x14ac:dyDescent="0.2">
      <c r="A36" s="3"/>
      <c r="B36" s="3"/>
      <c r="C36" s="3"/>
      <c r="D36" s="3"/>
      <c r="E36" s="3"/>
      <c r="F36" s="3"/>
      <c r="G36" s="43"/>
    </row>
    <row r="37" spans="1:9" s="11" customFormat="1" x14ac:dyDescent="0.2">
      <c r="A37" s="3"/>
      <c r="B37" s="3"/>
      <c r="C37" s="3"/>
      <c r="D37" s="3"/>
      <c r="E37" s="3"/>
      <c r="F37" s="3"/>
      <c r="G37" s="44"/>
      <c r="I37"/>
    </row>
    <row r="38" spans="1:9" s="11" customFormat="1" x14ac:dyDescent="0.2">
      <c r="A38" s="3"/>
      <c r="B38" s="3"/>
      <c r="C38" s="3"/>
      <c r="D38" s="3"/>
      <c r="E38" s="3"/>
      <c r="F38" s="3"/>
      <c r="G38" s="43"/>
      <c r="I38"/>
    </row>
    <row r="39" spans="1:9" s="11" customFormat="1" x14ac:dyDescent="0.2">
      <c r="A39" s="3"/>
      <c r="B39" s="3"/>
      <c r="C39" s="3"/>
      <c r="D39" s="3"/>
      <c r="E39" s="3"/>
      <c r="F39" s="3"/>
      <c r="I39"/>
    </row>
    <row r="40" spans="1:9" s="11" customFormat="1" x14ac:dyDescent="0.2">
      <c r="A40" s="3"/>
      <c r="B40" s="3"/>
      <c r="C40" s="3"/>
      <c r="D40" s="3"/>
      <c r="E40" s="3"/>
      <c r="F40" s="3"/>
      <c r="G40" s="43"/>
      <c r="I40"/>
    </row>
    <row r="41" spans="1:9" s="11" customFormat="1" x14ac:dyDescent="0.2">
      <c r="A41" s="3"/>
      <c r="B41" s="3"/>
      <c r="C41" s="3"/>
      <c r="D41" s="3"/>
      <c r="E41" s="3"/>
      <c r="F41" s="3"/>
      <c r="G41" s="43"/>
      <c r="I41"/>
    </row>
    <row r="42" spans="1:9" s="11" customFormat="1" x14ac:dyDescent="0.2">
      <c r="A42" s="3"/>
      <c r="B42" s="3"/>
      <c r="C42" s="3"/>
      <c r="D42" s="3"/>
      <c r="E42" s="3"/>
      <c r="F42" s="3"/>
      <c r="G42" s="43"/>
      <c r="I42"/>
    </row>
    <row r="43" spans="1:9" s="11" customFormat="1" x14ac:dyDescent="0.2">
      <c r="A43" s="3"/>
      <c r="B43" s="3"/>
      <c r="C43" s="3"/>
      <c r="D43" s="3"/>
      <c r="E43" s="3"/>
      <c r="F43" s="3"/>
      <c r="G43" s="43"/>
      <c r="I43"/>
    </row>
    <row r="44" spans="1:9" s="11" customFormat="1" x14ac:dyDescent="0.2">
      <c r="A44" s="3"/>
      <c r="B44" s="3"/>
      <c r="C44" s="3"/>
      <c r="D44" s="3"/>
      <c r="E44" s="3"/>
      <c r="F44" s="3"/>
      <c r="G44" s="43"/>
      <c r="I44"/>
    </row>
    <row r="45" spans="1:9" s="11" customFormat="1" x14ac:dyDescent="0.2">
      <c r="A45" s="3"/>
      <c r="B45" s="3"/>
      <c r="C45" s="3"/>
      <c r="D45" s="3"/>
      <c r="E45" s="3"/>
      <c r="F45" s="3"/>
      <c r="G45" s="43"/>
      <c r="I45"/>
    </row>
    <row r="46" spans="1:9" s="11" customFormat="1" x14ac:dyDescent="0.2">
      <c r="A46"/>
      <c r="B46"/>
      <c r="C46"/>
      <c r="D46"/>
      <c r="E46"/>
      <c r="F46"/>
      <c r="G46" s="44"/>
      <c r="I46"/>
    </row>
    <row r="53" spans="7:7" x14ac:dyDescent="0.2">
      <c r="G53" s="43" t="s">
        <v>371</v>
      </c>
    </row>
  </sheetData>
  <mergeCells count="1">
    <mergeCell ref="E6:F6"/>
  </mergeCells>
  <conditionalFormatting sqref="B12:B13">
    <cfRule type="cellIs" dxfId="11" priority="1" stopIfTrue="1" operator="equal">
      <formula>#REF!</formula>
    </cfRule>
  </conditionalFormatting>
  <pageMargins left="0.5" right="0.5" top="0.5" bottom="0.5" header="0.5" footer="0.5"/>
  <pageSetup firstPageNumber="2" fitToHeight="0" orientation="portrait"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2C80E-0E97-44AB-94F5-0CF73D57731D}">
  <sheetPr codeName="CofA2"/>
  <dimension ref="A1:I53"/>
  <sheetViews>
    <sheetView topLeftCell="A2" zoomScaleNormal="100" workbookViewId="0">
      <selection activeCell="G53" sqref="G53"/>
    </sheetView>
  </sheetViews>
  <sheetFormatPr defaultColWidth="2.7109375" defaultRowHeight="12.75" x14ac:dyDescent="0.2"/>
  <cols>
    <col min="1" max="1" width="18" customWidth="1"/>
    <col min="2" max="2" width="17.7109375" customWidth="1"/>
    <col min="3" max="3" width="14.140625" customWidth="1"/>
    <col min="4" max="4" width="15" customWidth="1"/>
    <col min="5" max="5" width="11.85546875" customWidth="1"/>
    <col min="6" max="6" width="8" customWidth="1"/>
    <col min="7" max="7" width="10.42578125" customWidth="1"/>
    <col min="8" max="8" width="12.140625" style="11" customWidth="1"/>
    <col min="9" max="9" width="10.140625" customWidth="1"/>
  </cols>
  <sheetData>
    <row r="1" spans="1:9" s="3" customFormat="1" ht="11.25" hidden="1" customHeight="1" x14ac:dyDescent="0.2">
      <c r="A1" s="3">
        <f ca="1">SheetNumber()</f>
        <v>3</v>
      </c>
      <c r="B1" s="3">
        <f ca="1">MATCH(INDEX(SampleID, A1), AnalysisSampleID, 0)</f>
        <v>3</v>
      </c>
      <c r="H1" s="10"/>
    </row>
    <row r="2" spans="1:9" s="3" customFormat="1" ht="61.5" customHeight="1" x14ac:dyDescent="0.2">
      <c r="H2" s="10"/>
    </row>
    <row r="3" spans="1:9" x14ac:dyDescent="0.2">
      <c r="A3" s="20" t="s">
        <v>4</v>
      </c>
      <c r="B3" s="22">
        <f ca="1">IF(ISERROR(INDEX(ReceivedDate,$A$1)), "", IF(ISBLANK(INDEX(ReceivedDate,$A$1)), "", INDEX(ReceivedDate,$A$1)))</f>
        <v>45569</v>
      </c>
      <c r="D3" s="20" t="s">
        <v>5</v>
      </c>
      <c r="E3" s="41" t="str">
        <f ca="1">IF(ISERROR(INDEX(Customer.Name,$A$1)), "", IF(ISBLANK(INDEX(Customer.Name,$A$1)), "", INDEX(Customer.Name,$A$1)))</f>
        <v>Big Valley</v>
      </c>
      <c r="F3" s="10"/>
      <c r="G3" s="3"/>
    </row>
    <row r="4" spans="1:9" ht="13.15" customHeight="1" x14ac:dyDescent="0.2">
      <c r="A4" s="20" t="s">
        <v>35</v>
      </c>
      <c r="B4" s="46">
        <f ca="1">IF(ISERROR(INDEX(ReceivedTime,$A$1)), "", IF(ISBLANK(INDEX(ReceivedTime,$A$1)), "", INDEX(ReceivedTime,$A$1)))</f>
        <v>0.38541666666666669</v>
      </c>
      <c r="C4" s="3"/>
      <c r="D4" s="20" t="s">
        <v>17</v>
      </c>
      <c r="E4" s="41" t="str">
        <f ca="1">IF(ISERROR(INDEX(Project.Name,$A$1)), "", IF(ISBLANK(INDEX(Project.Name,$A$1)), "", INDEX(Project.Name,$A$1)))</f>
        <v>HABs</v>
      </c>
    </row>
    <row r="5" spans="1:9" ht="12.75" customHeight="1" x14ac:dyDescent="0.2">
      <c r="A5" s="20" t="s">
        <v>36</v>
      </c>
      <c r="B5" s="22" t="str">
        <f ca="1">IF(ISERROR(INDEX(SampleType.Name,$A$1)), "", IF(ISBLANK(INDEX(SampleType.Name,$A$1)), "", INDEX(SampleType.Name,$A$1)))</f>
        <v>Water Grab</v>
      </c>
      <c r="C5" s="19"/>
      <c r="D5" s="20" t="s">
        <v>25</v>
      </c>
      <c r="E5" s="3" t="str">
        <f ca="1">IF(ISERROR(INDEX(Location.Name,$A$1)), "", IF(ISBLANK(INDEX(Location.Name,$A$1)), "", INDEX(Location.Name,$A$1)))</f>
        <v>BP</v>
      </c>
      <c r="F5" s="10"/>
      <c r="G5" s="3"/>
    </row>
    <row r="6" spans="1:9" ht="12.75" customHeight="1" x14ac:dyDescent="0.2">
      <c r="A6" s="20" t="s">
        <v>16</v>
      </c>
      <c r="B6" s="10" t="str">
        <f ca="1">IF(ISERROR(INDEX(Description,$A$1)), "", IF(ISBLANK(INDEX(Description,$A$1)), "", INDEX(Description,$A$1)))</f>
        <v>BV1308</v>
      </c>
      <c r="C6" s="46"/>
      <c r="D6" s="20" t="s">
        <v>9</v>
      </c>
      <c r="E6" s="65">
        <f ca="1">IF(ISERROR(INDEX(CollectedDateTime,$A$1)), "", IF(ISBLANK(INDEX(CollectedDateTime,$A$1)), "", INDEX(CollectedDateTime,$A$1)))</f>
        <v>45567.444444444445</v>
      </c>
      <c r="F6" s="65"/>
      <c r="G6" s="3"/>
    </row>
    <row r="7" spans="1:9" ht="12.75" customHeight="1" x14ac:dyDescent="0.2">
      <c r="A7" s="20" t="s">
        <v>24</v>
      </c>
      <c r="B7" s="21">
        <f ca="1">NOW()</f>
        <v>45580.517125694445</v>
      </c>
      <c r="C7" s="3"/>
      <c r="D7" s="11"/>
    </row>
    <row r="8" spans="1:9" ht="12.75" customHeight="1" x14ac:dyDescent="0.2">
      <c r="C8" s="3"/>
      <c r="D8" s="20" t="s">
        <v>13</v>
      </c>
      <c r="E8" s="10" t="str">
        <f ca="1">IF(ISERROR(INDEX(CustomerSampleID,$A$1)), "", IF(ISBLANK(INDEX(CustomerSampleID,$A$1)), "", INDEX(CustomerSampleID,$A$1)))</f>
        <v>2829</v>
      </c>
    </row>
    <row r="9" spans="1:9" ht="12.75" customHeight="1" x14ac:dyDescent="0.2">
      <c r="C9" s="3"/>
      <c r="F9" s="18"/>
      <c r="G9" s="23"/>
      <c r="H9" s="10"/>
    </row>
    <row r="10" spans="1:9" x14ac:dyDescent="0.2">
      <c r="A10" s="33" t="s">
        <v>33</v>
      </c>
      <c r="B10" s="3"/>
      <c r="C10" s="3"/>
      <c r="D10" s="3"/>
      <c r="F10" s="3"/>
      <c r="G10" s="3"/>
      <c r="H10" s="10"/>
    </row>
    <row r="11" spans="1:9" s="7" customFormat="1" ht="15.75" customHeight="1" x14ac:dyDescent="0.2">
      <c r="A11" s="50" t="s">
        <v>8</v>
      </c>
      <c r="B11" s="26" t="s">
        <v>14</v>
      </c>
      <c r="C11" s="26" t="s">
        <v>6</v>
      </c>
      <c r="D11" s="32" t="s">
        <v>39</v>
      </c>
      <c r="E11" s="26" t="s">
        <v>7</v>
      </c>
      <c r="F11" s="26" t="s">
        <v>31</v>
      </c>
      <c r="G11" s="58" t="s">
        <v>27</v>
      </c>
      <c r="I11" s="9"/>
    </row>
    <row r="12" spans="1:9" s="3" customFormat="1" ht="19.899999999999999" customHeight="1" x14ac:dyDescent="0.2">
      <c r="A12" s="17" t="str">
        <f ca="1">IF(ISBLANK(INDEX(Method.Name, ROW() - ROW(OneAnalysisResults) + $B$1)), "",INDEX(Method.Name, ROW() - ROW(OneAnalysisResults) + $B$1))</f>
        <v>ELISA</v>
      </c>
      <c r="B12" s="17" t="str">
        <f ca="1">IF(ISBLANK(INDEX(AnalyteReportName, ROW() - ROW(OneAnalysisResults) + $B$1)), "",INDEX(AnalyteReportName, ROW() - ROW(OneAnalysisResults) + $B$1))</f>
        <v>Microcystin/Nod.</v>
      </c>
      <c r="C12" s="17" t="str">
        <f ca="1">IF(ISBLANK(INDEX(AnalysisResultFormatted, ROW() - ROW(OneAnalysisResults) + $B$1)), "",INDEX(AnalysisResultFormatted, ROW() - ROW(OneAnalysisResults) + $B$1))</f>
        <v>0.27</v>
      </c>
      <c r="D12" s="17">
        <f ca="1">IF(ISBLANK(INDEX(DilutionFactor, ROW() - ROW(OneAnalysisResults) + $B$1)), "",INDEX(DilutionFactor, ROW() - ROW(OneAnalysisResults) + $B$1))</f>
        <v>0.15</v>
      </c>
      <c r="E12" s="17" t="str">
        <f ca="1">IF(ISBLANK(INDEX(Abbreviation, ROW() - ROW(OneAnalysisResults) + $B$1)), "",INDEX(Abbreviation, ROW() - ROW(OneAnalysisResults) + $B$1))</f>
        <v>μg/L</v>
      </c>
      <c r="F12" s="17"/>
      <c r="G12" s="17">
        <v>1</v>
      </c>
    </row>
    <row r="13" spans="1:9" s="3" customFormat="1" ht="19.899999999999999" customHeight="1" x14ac:dyDescent="0.2">
      <c r="A13" s="17" t="str">
        <f ca="1">IF(ISBLANK(INDEX(Method.Name, ROW() - ROW(OneAnalysisResults) + $B$1)), "",INDEX(Method.Name, ROW() - ROW(OneAnalysisResults) + $B$1))</f>
        <v>QPCR</v>
      </c>
      <c r="B13" s="17" t="str">
        <f ca="1">IF(ISBLANK(INDEX(AnalyteReportName, ROW() - ROW(OneAnalysisResults) + $B$1)), "",INDEX(AnalyteReportName, ROW() - ROW(OneAnalysisResults) + $B$1))</f>
        <v>Cylindrospermopsin</v>
      </c>
      <c r="C13" s="17" t="str">
        <f ca="1">IF(ISBLANK(INDEX(AnalysisResultFormatted, ROW() - ROW(OneAnalysisResults) + $B$1)), "",INDEX(AnalysisResultFormatted, ROW() - ROW(OneAnalysisResults) + $B$1))</f>
        <v>ND</v>
      </c>
      <c r="D13" s="17">
        <f ca="1">IF(ISBLANK(INDEX(DilutionFactor, ROW() - ROW(OneAnalysisResults) + $B$1)), "",INDEX(DilutionFactor, ROW() - ROW(OneAnalysisResults) + $B$1))</f>
        <v>100</v>
      </c>
      <c r="E13" s="17" t="str">
        <f ca="1">IF(ISBLANK(INDEX(Abbreviation, ROW() - ROW(OneAnalysisResults) + $B$1)), "",INDEX(Abbreviation, ROW() - ROW(OneAnalysisResults) + $B$1))</f>
        <v>copies/mL</v>
      </c>
      <c r="F13" s="17" t="s">
        <v>22</v>
      </c>
      <c r="G13" s="17"/>
    </row>
    <row r="14" spans="1:9" s="3" customFormat="1" ht="19.899999999999999" customHeight="1" x14ac:dyDescent="0.2">
      <c r="A14" s="17"/>
      <c r="B14" s="17"/>
      <c r="C14" s="17"/>
      <c r="D14" s="17"/>
      <c r="E14" s="17"/>
      <c r="F14" s="17"/>
      <c r="G14" s="17"/>
    </row>
    <row r="15" spans="1:9" ht="12" customHeight="1" x14ac:dyDescent="0.2">
      <c r="B15" s="3"/>
      <c r="C15" s="3"/>
      <c r="E15" s="3"/>
      <c r="F15" s="45"/>
      <c r="G15" s="17"/>
      <c r="H15" s="10"/>
    </row>
    <row r="16" spans="1:9" x14ac:dyDescent="0.2">
      <c r="A16" s="3"/>
      <c r="C16" s="3"/>
      <c r="D16" s="3"/>
      <c r="E16" s="3"/>
      <c r="F16" s="17"/>
      <c r="G16" s="17"/>
      <c r="H16" s="10"/>
    </row>
    <row r="17" spans="1:9" x14ac:dyDescent="0.2">
      <c r="A17" s="3"/>
      <c r="B17" s="3"/>
      <c r="C17" s="3"/>
      <c r="D17" s="3"/>
      <c r="E17" s="3"/>
      <c r="F17" s="3"/>
      <c r="G17" s="17"/>
      <c r="H17" s="10"/>
    </row>
    <row r="18" spans="1:9" x14ac:dyDescent="0.2">
      <c r="A18" s="3"/>
      <c r="B18" s="3"/>
      <c r="C18" s="3"/>
      <c r="D18" s="3"/>
      <c r="E18" s="3"/>
      <c r="F18" s="3"/>
      <c r="G18" s="17"/>
      <c r="H18" s="10"/>
    </row>
    <row r="19" spans="1:9" x14ac:dyDescent="0.2">
      <c r="A19" s="24"/>
      <c r="B19" s="24"/>
      <c r="C19" s="24"/>
      <c r="D19" s="3"/>
      <c r="E19" s="18"/>
      <c r="F19" s="18"/>
      <c r="G19" s="18"/>
      <c r="H19" s="3"/>
      <c r="I19" s="11"/>
    </row>
    <row r="20" spans="1:9" x14ac:dyDescent="0.2">
      <c r="A20" s="24"/>
      <c r="B20" s="24"/>
      <c r="C20" s="24"/>
      <c r="D20" s="3"/>
      <c r="E20" s="3"/>
      <c r="F20" s="3"/>
      <c r="G20" s="3"/>
      <c r="H20" s="10"/>
    </row>
    <row r="21" spans="1:9" x14ac:dyDescent="0.2">
      <c r="A21" s="3"/>
      <c r="B21" s="3"/>
      <c r="C21" s="3"/>
      <c r="D21" s="3"/>
      <c r="E21" s="3"/>
      <c r="F21" s="3"/>
      <c r="G21" s="3"/>
      <c r="H21" s="10"/>
    </row>
    <row r="22" spans="1:9" x14ac:dyDescent="0.2">
      <c r="A22" s="3"/>
      <c r="B22" s="3"/>
      <c r="C22" s="3"/>
      <c r="D22" s="3"/>
      <c r="E22" s="3"/>
      <c r="F22" s="3"/>
      <c r="G22" s="3"/>
      <c r="H22" s="10"/>
    </row>
    <row r="23" spans="1:9" x14ac:dyDescent="0.2">
      <c r="A23" s="3"/>
      <c r="B23" s="3"/>
      <c r="C23" s="3"/>
      <c r="D23" s="3"/>
      <c r="E23" s="3"/>
      <c r="F23" s="3"/>
      <c r="G23" s="3"/>
      <c r="H23" s="10"/>
    </row>
    <row r="24" spans="1:9" x14ac:dyDescent="0.2">
      <c r="A24" s="3"/>
      <c r="B24" s="3"/>
      <c r="C24" s="3"/>
      <c r="D24" s="3"/>
      <c r="E24" s="3"/>
      <c r="F24" s="3"/>
      <c r="G24" s="3"/>
      <c r="H24" s="10"/>
    </row>
    <row r="25" spans="1:9" x14ac:dyDescent="0.2">
      <c r="A25" s="3"/>
      <c r="B25" s="3"/>
      <c r="C25" s="3"/>
      <c r="D25" s="3"/>
      <c r="E25" s="3"/>
      <c r="F25" s="3"/>
      <c r="G25" s="3"/>
      <c r="H25" s="10"/>
    </row>
    <row r="26" spans="1:9" x14ac:dyDescent="0.2">
      <c r="A26" s="3"/>
      <c r="B26" s="3"/>
      <c r="C26" s="3"/>
      <c r="D26" s="3"/>
      <c r="E26" s="3"/>
      <c r="F26" s="3"/>
      <c r="G26" s="3"/>
      <c r="H26" s="10"/>
    </row>
    <row r="27" spans="1:9" x14ac:dyDescent="0.2">
      <c r="A27" s="3"/>
      <c r="B27" s="3"/>
      <c r="C27" s="3"/>
      <c r="D27" s="3"/>
      <c r="E27" s="3"/>
      <c r="F27" s="3"/>
      <c r="G27" s="3"/>
    </row>
    <row r="28" spans="1:9" x14ac:dyDescent="0.2">
      <c r="A28" s="3"/>
      <c r="B28" s="3"/>
      <c r="C28" s="3"/>
      <c r="D28" s="3"/>
      <c r="E28" s="3"/>
      <c r="F28" s="3"/>
      <c r="G28" s="3"/>
    </row>
    <row r="29" spans="1:9" x14ac:dyDescent="0.2">
      <c r="A29" s="3"/>
      <c r="B29" s="3"/>
      <c r="C29" s="3"/>
      <c r="D29" s="3"/>
      <c r="E29" s="3"/>
      <c r="F29" s="3"/>
      <c r="G29" s="3"/>
    </row>
    <row r="30" spans="1:9" x14ac:dyDescent="0.2">
      <c r="A30" s="3"/>
      <c r="B30" s="3"/>
      <c r="C30" s="3"/>
      <c r="D30" s="3"/>
      <c r="E30" s="3"/>
      <c r="F30" s="3"/>
      <c r="G30" s="3"/>
    </row>
    <row r="31" spans="1:9" x14ac:dyDescent="0.2">
      <c r="A31" s="3"/>
      <c r="B31" s="3"/>
      <c r="C31" s="3"/>
      <c r="D31" s="3"/>
      <c r="E31" s="3"/>
      <c r="F31" s="3"/>
      <c r="G31" s="43"/>
    </row>
    <row r="32" spans="1:9" x14ac:dyDescent="0.2">
      <c r="A32" s="3"/>
      <c r="B32" s="3"/>
      <c r="C32" s="3"/>
      <c r="D32" s="3"/>
      <c r="E32" s="3"/>
      <c r="F32" s="3"/>
      <c r="G32" s="43"/>
    </row>
    <row r="33" spans="1:9" x14ac:dyDescent="0.2">
      <c r="A33" s="3"/>
      <c r="B33" s="3"/>
      <c r="C33" s="3"/>
      <c r="D33" s="3"/>
      <c r="E33" s="3"/>
      <c r="F33" s="3"/>
      <c r="G33" s="43"/>
    </row>
    <row r="34" spans="1:9" x14ac:dyDescent="0.2">
      <c r="A34" s="3"/>
      <c r="B34" s="3"/>
      <c r="C34" s="3"/>
      <c r="D34" s="3"/>
      <c r="E34" s="3"/>
      <c r="F34" s="3"/>
      <c r="G34" s="43"/>
    </row>
    <row r="35" spans="1:9" x14ac:dyDescent="0.2">
      <c r="A35" s="3"/>
      <c r="B35" s="3"/>
      <c r="C35" s="3"/>
      <c r="D35" s="3"/>
      <c r="E35" s="3"/>
      <c r="F35" s="3"/>
    </row>
    <row r="36" spans="1:9" x14ac:dyDescent="0.2">
      <c r="A36" s="3"/>
      <c r="B36" s="3"/>
      <c r="C36" s="3"/>
      <c r="D36" s="3"/>
      <c r="E36" s="3"/>
      <c r="F36" s="3"/>
      <c r="G36" s="43"/>
    </row>
    <row r="37" spans="1:9" x14ac:dyDescent="0.2">
      <c r="A37" s="3"/>
      <c r="B37" s="3"/>
      <c r="C37" s="3"/>
      <c r="D37" s="3"/>
      <c r="E37" s="3"/>
      <c r="F37" s="3"/>
      <c r="G37" s="43"/>
    </row>
    <row r="38" spans="1:9" s="11" customFormat="1" x14ac:dyDescent="0.2">
      <c r="A38" s="3"/>
      <c r="B38" s="3"/>
      <c r="C38" s="3"/>
      <c r="D38" s="3"/>
      <c r="E38" s="3"/>
      <c r="F38" s="3"/>
      <c r="G38" s="44"/>
      <c r="I38"/>
    </row>
    <row r="39" spans="1:9" s="11" customFormat="1" x14ac:dyDescent="0.2">
      <c r="A39" s="3"/>
      <c r="B39" s="3"/>
      <c r="C39" s="3"/>
      <c r="D39" s="3"/>
      <c r="E39" s="3"/>
      <c r="F39" s="3"/>
      <c r="G39" s="43"/>
      <c r="I39"/>
    </row>
    <row r="40" spans="1:9" s="11" customFormat="1" x14ac:dyDescent="0.2">
      <c r="A40" s="3"/>
      <c r="B40" s="3"/>
      <c r="C40" s="3"/>
      <c r="D40" s="3"/>
      <c r="E40" s="3"/>
      <c r="F40" s="3"/>
      <c r="I40"/>
    </row>
    <row r="41" spans="1:9" s="11" customFormat="1" x14ac:dyDescent="0.2">
      <c r="A41" s="3"/>
      <c r="B41" s="3"/>
      <c r="C41" s="3"/>
      <c r="D41" s="3"/>
      <c r="E41" s="3"/>
      <c r="F41" s="3"/>
      <c r="G41" s="43"/>
      <c r="I41"/>
    </row>
    <row r="42" spans="1:9" s="11" customFormat="1" x14ac:dyDescent="0.2">
      <c r="A42" s="3"/>
      <c r="B42" s="3"/>
      <c r="C42" s="3"/>
      <c r="D42" s="3"/>
      <c r="E42" s="3"/>
      <c r="F42" s="3"/>
      <c r="G42" s="43"/>
      <c r="I42"/>
    </row>
    <row r="43" spans="1:9" s="11" customFormat="1" x14ac:dyDescent="0.2">
      <c r="A43" s="3"/>
      <c r="B43" s="3"/>
      <c r="C43" s="3"/>
      <c r="D43" s="3"/>
      <c r="E43" s="3"/>
      <c r="F43" s="3"/>
      <c r="G43" s="43"/>
      <c r="I43"/>
    </row>
    <row r="44" spans="1:9" s="11" customFormat="1" x14ac:dyDescent="0.2">
      <c r="A44" s="3"/>
      <c r="B44" s="3"/>
      <c r="C44" s="3"/>
      <c r="D44" s="3"/>
      <c r="E44" s="3"/>
      <c r="F44" s="3"/>
      <c r="G44" s="43"/>
      <c r="I44"/>
    </row>
    <row r="45" spans="1:9" s="11" customFormat="1" x14ac:dyDescent="0.2">
      <c r="A45" s="3"/>
      <c r="B45" s="3"/>
      <c r="C45" s="3"/>
      <c r="D45" s="3"/>
      <c r="E45" s="3"/>
      <c r="F45" s="3"/>
      <c r="G45" s="43"/>
      <c r="I45"/>
    </row>
    <row r="46" spans="1:9" s="11" customFormat="1" x14ac:dyDescent="0.2">
      <c r="A46" s="3"/>
      <c r="B46" s="3"/>
      <c r="C46" s="3"/>
      <c r="D46" s="3"/>
      <c r="E46" s="3"/>
      <c r="F46" s="3"/>
      <c r="G46" s="43"/>
      <c r="I46"/>
    </row>
    <row r="47" spans="1:9" s="11" customFormat="1" x14ac:dyDescent="0.2">
      <c r="A47"/>
      <c r="B47"/>
      <c r="C47"/>
      <c r="D47"/>
      <c r="E47"/>
      <c r="F47"/>
      <c r="G47" s="44"/>
      <c r="I47"/>
    </row>
    <row r="53" spans="7:7" x14ac:dyDescent="0.2">
      <c r="G53" s="43" t="s">
        <v>372</v>
      </c>
    </row>
  </sheetData>
  <mergeCells count="1">
    <mergeCell ref="E6:F6"/>
  </mergeCells>
  <conditionalFormatting sqref="B12:B14">
    <cfRule type="cellIs" dxfId="10" priority="1" stopIfTrue="1" operator="equal">
      <formula>#REF!</formula>
    </cfRule>
  </conditionalFormatting>
  <pageMargins left="0.5" right="0.5" top="0.5" bottom="0.5" header="0.5" footer="0.5"/>
  <pageSetup firstPageNumber="2" fitToHeight="0" orientation="portrait"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DB4BD1-173C-48DE-818C-A60DBA7FE579}">
  <sheetPr codeName="CofA3"/>
  <dimension ref="A1:I53"/>
  <sheetViews>
    <sheetView topLeftCell="A2" zoomScaleNormal="100" workbookViewId="0">
      <selection activeCell="G53" sqref="G53"/>
    </sheetView>
  </sheetViews>
  <sheetFormatPr defaultColWidth="2.7109375" defaultRowHeight="12.75" x14ac:dyDescent="0.2"/>
  <cols>
    <col min="1" max="1" width="18" customWidth="1"/>
    <col min="2" max="2" width="17.7109375" customWidth="1"/>
    <col min="3" max="3" width="14.140625" customWidth="1"/>
    <col min="4" max="4" width="15" customWidth="1"/>
    <col min="5" max="5" width="11.85546875" customWidth="1"/>
    <col min="6" max="6" width="8" customWidth="1"/>
    <col min="7" max="7" width="10.42578125" customWidth="1"/>
    <col min="8" max="8" width="12.140625" style="11" customWidth="1"/>
    <col min="9" max="9" width="10.140625" customWidth="1"/>
  </cols>
  <sheetData>
    <row r="1" spans="1:9" s="3" customFormat="1" ht="11.25" hidden="1" customHeight="1" x14ac:dyDescent="0.2">
      <c r="A1" s="3">
        <f ca="1">SheetNumber()</f>
        <v>4</v>
      </c>
      <c r="B1" s="3">
        <f ca="1">MATCH(INDEX(SampleID, A1), AnalysisSampleID, 0)</f>
        <v>5</v>
      </c>
      <c r="H1" s="10"/>
    </row>
    <row r="2" spans="1:9" s="3" customFormat="1" ht="61.5" customHeight="1" x14ac:dyDescent="0.2">
      <c r="H2" s="10"/>
    </row>
    <row r="3" spans="1:9" x14ac:dyDescent="0.2">
      <c r="A3" s="20" t="s">
        <v>4</v>
      </c>
      <c r="B3" s="22">
        <f ca="1">IF(ISERROR(INDEX(ReceivedDate,$A$1)), "", IF(ISBLANK(INDEX(ReceivedDate,$A$1)), "", INDEX(ReceivedDate,$A$1)))</f>
        <v>45569</v>
      </c>
      <c r="D3" s="20" t="s">
        <v>5</v>
      </c>
      <c r="E3" s="41" t="str">
        <f ca="1">IF(ISERROR(INDEX(Customer.Name,$A$1)), "", IF(ISBLANK(INDEX(Customer.Name,$A$1)), "", INDEX(Customer.Name,$A$1)))</f>
        <v>Big Valley</v>
      </c>
      <c r="F3" s="10"/>
      <c r="G3" s="3"/>
    </row>
    <row r="4" spans="1:9" ht="13.15" customHeight="1" x14ac:dyDescent="0.2">
      <c r="A4" s="20" t="s">
        <v>35</v>
      </c>
      <c r="B4" s="46">
        <f ca="1">IF(ISERROR(INDEX(ReceivedTime,$A$1)), "", IF(ISBLANK(INDEX(ReceivedTime,$A$1)), "", INDEX(ReceivedTime,$A$1)))</f>
        <v>0.38541666666666669</v>
      </c>
      <c r="C4" s="3"/>
      <c r="D4" s="20" t="s">
        <v>17</v>
      </c>
      <c r="E4" s="41" t="str">
        <f ca="1">IF(ISERROR(INDEX(Project.Name,$A$1)), "", IF(ISBLANK(INDEX(Project.Name,$A$1)), "", INDEX(Project.Name,$A$1)))</f>
        <v>HABs</v>
      </c>
    </row>
    <row r="5" spans="1:9" ht="12.75" customHeight="1" x14ac:dyDescent="0.2">
      <c r="A5" s="20" t="s">
        <v>36</v>
      </c>
      <c r="B5" s="22" t="str">
        <f ca="1">IF(ISERROR(INDEX(SampleType.Name,$A$1)), "", IF(ISBLANK(INDEX(SampleType.Name,$A$1)), "", INDEX(SampleType.Name,$A$1)))</f>
        <v>Water Grab</v>
      </c>
      <c r="C5" s="19"/>
      <c r="D5" s="20" t="s">
        <v>25</v>
      </c>
      <c r="E5" s="3" t="str">
        <f ca="1">IF(ISERROR(INDEX(Location.Name,$A$1)), "", IF(ISBLANK(INDEX(Location.Name,$A$1)), "", INDEX(Location.Name,$A$1)))</f>
        <v>SHADY01</v>
      </c>
      <c r="F5" s="10"/>
      <c r="G5" s="3"/>
    </row>
    <row r="6" spans="1:9" ht="12.75" customHeight="1" x14ac:dyDescent="0.2">
      <c r="A6" s="20" t="s">
        <v>16</v>
      </c>
      <c r="B6" s="10" t="str">
        <f ca="1">IF(ISERROR(INDEX(Description,$A$1)), "", IF(ISBLANK(INDEX(Description,$A$1)), "", INDEX(Description,$A$1)))</f>
        <v>BV1309</v>
      </c>
      <c r="C6" s="46"/>
      <c r="D6" s="20" t="s">
        <v>9</v>
      </c>
      <c r="E6" s="65">
        <f ca="1">IF(ISERROR(INDEX(CollectedDateTime,$A$1)), "", IF(ISBLANK(INDEX(CollectedDateTime,$A$1)), "", INDEX(CollectedDateTime,$A$1)))</f>
        <v>45567.513194444444</v>
      </c>
      <c r="F6" s="65"/>
      <c r="G6" s="3"/>
    </row>
    <row r="7" spans="1:9" ht="12.75" customHeight="1" x14ac:dyDescent="0.2">
      <c r="A7" s="20" t="s">
        <v>24</v>
      </c>
      <c r="B7" s="21">
        <f ca="1">NOW()</f>
        <v>45580.517125694445</v>
      </c>
      <c r="C7" s="3"/>
      <c r="D7" s="11"/>
    </row>
    <row r="8" spans="1:9" ht="12.75" customHeight="1" x14ac:dyDescent="0.2">
      <c r="C8" s="3"/>
      <c r="D8" s="20" t="s">
        <v>13</v>
      </c>
      <c r="E8" s="10" t="str">
        <f ca="1">IF(ISERROR(INDEX(CustomerSampleID,$A$1)), "", IF(ISBLANK(INDEX(CustomerSampleID,$A$1)), "", INDEX(CustomerSampleID,$A$1)))</f>
        <v>2830</v>
      </c>
    </row>
    <row r="9" spans="1:9" ht="12.75" customHeight="1" x14ac:dyDescent="0.2">
      <c r="C9" s="3"/>
      <c r="F9" s="18"/>
      <c r="G9" s="23"/>
      <c r="H9" s="10"/>
    </row>
    <row r="10" spans="1:9" x14ac:dyDescent="0.2">
      <c r="A10" s="33" t="s">
        <v>33</v>
      </c>
      <c r="B10" s="3"/>
      <c r="C10" s="3"/>
      <c r="D10" s="3"/>
      <c r="F10" s="3"/>
      <c r="G10" s="3"/>
      <c r="H10" s="10"/>
    </row>
    <row r="11" spans="1:9" s="7" customFormat="1" ht="15.75" customHeight="1" x14ac:dyDescent="0.2">
      <c r="A11" s="50" t="s">
        <v>8</v>
      </c>
      <c r="B11" s="26" t="s">
        <v>14</v>
      </c>
      <c r="C11" s="26" t="s">
        <v>6</v>
      </c>
      <c r="D11" s="32" t="s">
        <v>39</v>
      </c>
      <c r="E11" s="26" t="s">
        <v>7</v>
      </c>
      <c r="F11" s="26" t="s">
        <v>31</v>
      </c>
      <c r="G11" s="58" t="s">
        <v>27</v>
      </c>
      <c r="I11" s="9"/>
    </row>
    <row r="12" spans="1:9" s="3" customFormat="1" ht="19.899999999999999" customHeight="1" x14ac:dyDescent="0.2">
      <c r="A12" s="17" t="str">
        <f ca="1">IF(ISBLANK(INDEX(Method.Name, ROW() - ROW(OneAnalysisResults) + $B$1)), "",INDEX(Method.Name, ROW() - ROW(OneAnalysisResults) + $B$1))</f>
        <v>ELISA</v>
      </c>
      <c r="B12" s="17" t="str">
        <f ca="1">IF(ISBLANK(INDEX(AnalyteReportName, ROW() - ROW(OneAnalysisResults) + $B$1)), "",INDEX(AnalyteReportName, ROW() - ROW(OneAnalysisResults) + $B$1))</f>
        <v>Microcystin/Nod.</v>
      </c>
      <c r="C12" s="17" t="str">
        <f ca="1">IF(ISBLANK(INDEX(AnalysisResultFormatted, ROW() - ROW(OneAnalysisResults) + $B$1)), "",INDEX(AnalysisResultFormatted, ROW() - ROW(OneAnalysisResults) + $B$1))</f>
        <v>1.03</v>
      </c>
      <c r="D12" s="17">
        <f ca="1">IF(ISBLANK(INDEX(DilutionFactor, ROW() - ROW(OneAnalysisResults) + $B$1)), "",INDEX(DilutionFactor, ROW() - ROW(OneAnalysisResults) + $B$1))</f>
        <v>0.15</v>
      </c>
      <c r="E12" s="17" t="str">
        <f ca="1">IF(ISBLANK(INDEX(Abbreviation, ROW() - ROW(OneAnalysisResults) + $B$1)), "",INDEX(Abbreviation, ROW() - ROW(OneAnalysisResults) + $B$1))</f>
        <v>μg/L</v>
      </c>
      <c r="F12" s="17"/>
      <c r="G12" s="17">
        <v>1</v>
      </c>
    </row>
    <row r="13" spans="1:9" s="3" customFormat="1" ht="19.899999999999999" customHeight="1" x14ac:dyDescent="0.2">
      <c r="A13" s="17"/>
      <c r="B13" s="17"/>
      <c r="C13" s="17"/>
      <c r="D13" s="17"/>
      <c r="E13" s="17"/>
      <c r="F13" s="17"/>
      <c r="G13" s="17"/>
    </row>
    <row r="14" spans="1:9" ht="12" customHeight="1" x14ac:dyDescent="0.2">
      <c r="B14" s="3"/>
      <c r="C14" s="3"/>
      <c r="E14" s="3"/>
      <c r="F14" s="45"/>
      <c r="G14" s="17"/>
      <c r="H14" s="10"/>
    </row>
    <row r="15" spans="1:9" x14ac:dyDescent="0.2">
      <c r="A15" s="3"/>
      <c r="C15" s="3"/>
      <c r="D15" s="3"/>
      <c r="E15" s="3"/>
      <c r="F15" s="17"/>
      <c r="G15" s="17"/>
      <c r="H15" s="10"/>
    </row>
    <row r="16" spans="1:9" x14ac:dyDescent="0.2">
      <c r="A16" s="3"/>
      <c r="B16" s="3"/>
      <c r="C16" s="3"/>
      <c r="D16" s="3"/>
      <c r="E16" s="3"/>
      <c r="F16" s="3"/>
      <c r="G16" s="17"/>
      <c r="H16" s="10"/>
    </row>
    <row r="17" spans="1:9" x14ac:dyDescent="0.2">
      <c r="A17" s="3"/>
      <c r="B17" s="3"/>
      <c r="C17" s="3"/>
      <c r="D17" s="3"/>
      <c r="E17" s="3"/>
      <c r="F17" s="3"/>
      <c r="G17" s="17"/>
      <c r="H17" s="10"/>
    </row>
    <row r="18" spans="1:9" x14ac:dyDescent="0.2">
      <c r="A18" s="24"/>
      <c r="B18" s="24"/>
      <c r="C18" s="24"/>
      <c r="D18" s="3"/>
      <c r="E18" s="18"/>
      <c r="F18" s="18"/>
      <c r="G18" s="18"/>
      <c r="H18" s="3"/>
      <c r="I18" s="11"/>
    </row>
    <row r="19" spans="1:9" x14ac:dyDescent="0.2">
      <c r="A19" s="24"/>
      <c r="B19" s="24"/>
      <c r="C19" s="24"/>
      <c r="D19" s="3"/>
      <c r="E19" s="18"/>
      <c r="F19" s="18"/>
      <c r="G19" s="18"/>
      <c r="H19" s="3"/>
      <c r="I19" s="11"/>
    </row>
    <row r="20" spans="1:9" x14ac:dyDescent="0.2">
      <c r="A20" s="24"/>
      <c r="B20" s="24"/>
      <c r="C20" s="24"/>
      <c r="D20" s="3"/>
      <c r="E20" s="3"/>
      <c r="F20" s="3"/>
      <c r="G20" s="3"/>
      <c r="H20" s="10"/>
    </row>
    <row r="21" spans="1:9" x14ac:dyDescent="0.2">
      <c r="A21" s="3"/>
      <c r="B21" s="3"/>
      <c r="C21" s="3"/>
      <c r="D21" s="3"/>
      <c r="E21" s="3"/>
      <c r="F21" s="3"/>
      <c r="G21" s="3"/>
      <c r="H21" s="10"/>
    </row>
    <row r="22" spans="1:9" x14ac:dyDescent="0.2">
      <c r="A22" s="3"/>
      <c r="B22" s="3"/>
      <c r="C22" s="3"/>
      <c r="D22" s="3"/>
      <c r="E22" s="3"/>
      <c r="F22" s="3"/>
      <c r="G22" s="3"/>
      <c r="H22" s="10"/>
    </row>
    <row r="23" spans="1:9" x14ac:dyDescent="0.2">
      <c r="A23" s="3"/>
      <c r="B23" s="3"/>
      <c r="C23" s="3"/>
      <c r="D23" s="3"/>
      <c r="E23" s="3"/>
      <c r="F23" s="3"/>
      <c r="G23" s="3"/>
      <c r="H23" s="10"/>
    </row>
    <row r="24" spans="1:9" x14ac:dyDescent="0.2">
      <c r="A24" s="3"/>
      <c r="B24" s="3"/>
      <c r="C24" s="3"/>
      <c r="D24" s="3"/>
      <c r="E24" s="3"/>
      <c r="F24" s="3"/>
      <c r="G24" s="3"/>
      <c r="H24" s="10"/>
    </row>
    <row r="25" spans="1:9" x14ac:dyDescent="0.2">
      <c r="A25" s="3"/>
      <c r="B25" s="3"/>
      <c r="C25" s="3"/>
      <c r="D25" s="3"/>
      <c r="E25" s="3"/>
      <c r="F25" s="3"/>
      <c r="G25" s="3"/>
      <c r="H25" s="10"/>
    </row>
    <row r="26" spans="1:9" x14ac:dyDescent="0.2">
      <c r="A26" s="3"/>
      <c r="B26" s="3"/>
      <c r="C26" s="3"/>
      <c r="D26" s="3"/>
      <c r="E26" s="3"/>
      <c r="F26" s="3"/>
      <c r="G26" s="3"/>
      <c r="H26" s="10"/>
    </row>
    <row r="27" spans="1:9" x14ac:dyDescent="0.2">
      <c r="A27" s="3"/>
      <c r="B27" s="3"/>
      <c r="C27" s="3"/>
      <c r="D27" s="3"/>
      <c r="E27" s="3"/>
      <c r="F27" s="3"/>
      <c r="G27" s="3"/>
    </row>
    <row r="28" spans="1:9" x14ac:dyDescent="0.2">
      <c r="A28" s="3"/>
      <c r="B28" s="3"/>
      <c r="C28" s="3"/>
      <c r="D28" s="3"/>
      <c r="E28" s="3"/>
      <c r="F28" s="3"/>
      <c r="G28" s="3"/>
    </row>
    <row r="29" spans="1:9" x14ac:dyDescent="0.2">
      <c r="A29" s="3"/>
      <c r="B29" s="3"/>
      <c r="C29" s="3"/>
      <c r="D29" s="3"/>
      <c r="E29" s="3"/>
      <c r="F29" s="3"/>
      <c r="G29" s="3"/>
    </row>
    <row r="30" spans="1:9" x14ac:dyDescent="0.2">
      <c r="A30" s="3"/>
      <c r="B30" s="3"/>
      <c r="C30" s="3"/>
      <c r="D30" s="3"/>
      <c r="E30" s="3"/>
      <c r="F30" s="3"/>
      <c r="G30" s="3"/>
    </row>
    <row r="31" spans="1:9" x14ac:dyDescent="0.2">
      <c r="A31" s="3"/>
      <c r="B31" s="3"/>
      <c r="C31" s="3"/>
      <c r="D31" s="3"/>
      <c r="E31" s="3"/>
      <c r="F31" s="3"/>
      <c r="G31" s="43"/>
    </row>
    <row r="32" spans="1:9" x14ac:dyDescent="0.2">
      <c r="A32" s="3"/>
      <c r="B32" s="3"/>
      <c r="C32" s="3"/>
      <c r="D32" s="3"/>
      <c r="E32" s="3"/>
      <c r="F32" s="3"/>
      <c r="G32" s="43"/>
    </row>
    <row r="33" spans="1:9" x14ac:dyDescent="0.2">
      <c r="A33" s="3"/>
      <c r="B33" s="3"/>
      <c r="C33" s="3"/>
      <c r="D33" s="3"/>
      <c r="E33" s="3"/>
      <c r="F33" s="3"/>
      <c r="G33" s="43"/>
    </row>
    <row r="34" spans="1:9" x14ac:dyDescent="0.2">
      <c r="A34" s="3"/>
      <c r="B34" s="3"/>
      <c r="C34" s="3"/>
      <c r="D34" s="3"/>
      <c r="E34" s="3"/>
      <c r="F34" s="3"/>
      <c r="G34" s="43"/>
    </row>
    <row r="35" spans="1:9" x14ac:dyDescent="0.2">
      <c r="A35" s="3"/>
      <c r="B35" s="3"/>
      <c r="C35" s="3"/>
      <c r="D35" s="3"/>
      <c r="E35" s="3"/>
      <c r="F35" s="3"/>
    </row>
    <row r="36" spans="1:9" x14ac:dyDescent="0.2">
      <c r="A36" s="3"/>
      <c r="B36" s="3"/>
      <c r="C36" s="3"/>
      <c r="D36" s="3"/>
      <c r="E36" s="3"/>
      <c r="F36" s="3"/>
      <c r="G36" s="43"/>
    </row>
    <row r="37" spans="1:9" x14ac:dyDescent="0.2">
      <c r="A37" s="3"/>
      <c r="B37" s="3"/>
      <c r="C37" s="3"/>
      <c r="D37" s="3"/>
      <c r="E37" s="3"/>
      <c r="F37" s="3"/>
      <c r="G37" s="43"/>
    </row>
    <row r="38" spans="1:9" s="11" customFormat="1" x14ac:dyDescent="0.2">
      <c r="A38" s="3"/>
      <c r="B38" s="3"/>
      <c r="C38" s="3"/>
      <c r="D38" s="3"/>
      <c r="E38" s="3"/>
      <c r="F38" s="3"/>
      <c r="G38" s="44"/>
      <c r="I38"/>
    </row>
    <row r="39" spans="1:9" s="11" customFormat="1" x14ac:dyDescent="0.2">
      <c r="A39" s="3"/>
      <c r="B39" s="3"/>
      <c r="C39" s="3"/>
      <c r="D39" s="3"/>
      <c r="E39" s="3"/>
      <c r="F39" s="3"/>
      <c r="G39" s="43"/>
      <c r="I39"/>
    </row>
    <row r="40" spans="1:9" s="11" customFormat="1" x14ac:dyDescent="0.2">
      <c r="A40" s="3"/>
      <c r="B40" s="3"/>
      <c r="C40" s="3"/>
      <c r="D40" s="3"/>
      <c r="E40" s="3"/>
      <c r="F40" s="3"/>
      <c r="I40"/>
    </row>
    <row r="41" spans="1:9" s="11" customFormat="1" x14ac:dyDescent="0.2">
      <c r="A41" s="3"/>
      <c r="B41" s="3"/>
      <c r="C41" s="3"/>
      <c r="D41" s="3"/>
      <c r="E41" s="3"/>
      <c r="F41" s="3"/>
      <c r="G41" s="43"/>
      <c r="I41"/>
    </row>
    <row r="42" spans="1:9" s="11" customFormat="1" x14ac:dyDescent="0.2">
      <c r="A42" s="3"/>
      <c r="B42" s="3"/>
      <c r="C42" s="3"/>
      <c r="D42" s="3"/>
      <c r="E42" s="3"/>
      <c r="F42" s="3"/>
      <c r="G42" s="43"/>
      <c r="I42"/>
    </row>
    <row r="43" spans="1:9" s="11" customFormat="1" x14ac:dyDescent="0.2">
      <c r="A43" s="3"/>
      <c r="B43" s="3"/>
      <c r="C43" s="3"/>
      <c r="D43" s="3"/>
      <c r="E43" s="3"/>
      <c r="F43" s="3"/>
      <c r="G43" s="43"/>
      <c r="I43"/>
    </row>
    <row r="44" spans="1:9" s="11" customFormat="1" x14ac:dyDescent="0.2">
      <c r="A44" s="3"/>
      <c r="B44" s="3"/>
      <c r="C44" s="3"/>
      <c r="D44" s="3"/>
      <c r="E44" s="3"/>
      <c r="F44" s="3"/>
      <c r="G44" s="43"/>
      <c r="I44"/>
    </row>
    <row r="45" spans="1:9" s="11" customFormat="1" x14ac:dyDescent="0.2">
      <c r="A45" s="3"/>
      <c r="B45" s="3"/>
      <c r="C45" s="3"/>
      <c r="D45" s="3"/>
      <c r="E45" s="3"/>
      <c r="F45" s="3"/>
      <c r="G45" s="43"/>
      <c r="I45"/>
    </row>
    <row r="46" spans="1:9" s="11" customFormat="1" x14ac:dyDescent="0.2">
      <c r="A46" s="3"/>
      <c r="B46" s="3"/>
      <c r="C46" s="3"/>
      <c r="D46" s="3"/>
      <c r="E46" s="3"/>
      <c r="F46" s="3"/>
      <c r="G46" s="43"/>
      <c r="I46"/>
    </row>
    <row r="47" spans="1:9" s="11" customFormat="1" x14ac:dyDescent="0.2">
      <c r="A47"/>
      <c r="B47"/>
      <c r="C47"/>
      <c r="D47"/>
      <c r="E47"/>
      <c r="F47"/>
      <c r="G47" s="44"/>
      <c r="I47"/>
    </row>
    <row r="53" spans="7:7" x14ac:dyDescent="0.2">
      <c r="G53" s="43" t="s">
        <v>373</v>
      </c>
    </row>
  </sheetData>
  <mergeCells count="1">
    <mergeCell ref="E6:F6"/>
  </mergeCells>
  <conditionalFormatting sqref="B12:B13">
    <cfRule type="cellIs" dxfId="9" priority="1" stopIfTrue="1" operator="equal">
      <formula>#REF!</formula>
    </cfRule>
  </conditionalFormatting>
  <pageMargins left="0.5" right="0.5" top="0.5" bottom="0.5" header="0.5" footer="0.5"/>
  <pageSetup firstPageNumber="2"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1BD8DB-D328-4ABB-AC71-650535B6FE00}">
  <sheetPr codeName="CofA4"/>
  <dimension ref="A1:I53"/>
  <sheetViews>
    <sheetView topLeftCell="A2" zoomScaleNormal="100" workbookViewId="0">
      <selection activeCell="G53" sqref="G53"/>
    </sheetView>
  </sheetViews>
  <sheetFormatPr defaultColWidth="2.7109375" defaultRowHeight="12.75" x14ac:dyDescent="0.2"/>
  <cols>
    <col min="1" max="1" width="18" customWidth="1"/>
    <col min="2" max="2" width="17.7109375" customWidth="1"/>
    <col min="3" max="3" width="14.140625" customWidth="1"/>
    <col min="4" max="4" width="15" customWidth="1"/>
    <col min="5" max="5" width="11.85546875" customWidth="1"/>
    <col min="6" max="6" width="8" customWidth="1"/>
    <col min="7" max="7" width="10.42578125" customWidth="1"/>
    <col min="8" max="8" width="12.140625" style="11" customWidth="1"/>
    <col min="9" max="9" width="10.140625" customWidth="1"/>
  </cols>
  <sheetData>
    <row r="1" spans="1:9" s="3" customFormat="1" ht="11.25" hidden="1" customHeight="1" x14ac:dyDescent="0.2">
      <c r="A1" s="3">
        <f ca="1">SheetNumber()</f>
        <v>5</v>
      </c>
      <c r="B1" s="3">
        <f ca="1">MATCH(INDEX(SampleID, A1), AnalysisSampleID, 0)</f>
        <v>6</v>
      </c>
      <c r="H1" s="10"/>
    </row>
    <row r="2" spans="1:9" s="3" customFormat="1" ht="61.5" customHeight="1" x14ac:dyDescent="0.2">
      <c r="H2" s="10"/>
    </row>
    <row r="3" spans="1:9" x14ac:dyDescent="0.2">
      <c r="A3" s="20" t="s">
        <v>4</v>
      </c>
      <c r="B3" s="22">
        <f ca="1">IF(ISERROR(INDEX(ReceivedDate,$A$1)), "", IF(ISBLANK(INDEX(ReceivedDate,$A$1)), "", INDEX(ReceivedDate,$A$1)))</f>
        <v>45569</v>
      </c>
      <c r="D3" s="20" t="s">
        <v>5</v>
      </c>
      <c r="E3" s="41" t="str">
        <f ca="1">IF(ISERROR(INDEX(Customer.Name,$A$1)), "", IF(ISBLANK(INDEX(Customer.Name,$A$1)), "", INDEX(Customer.Name,$A$1)))</f>
        <v>Big Valley</v>
      </c>
      <c r="F3" s="10"/>
      <c r="G3" s="3"/>
    </row>
    <row r="4" spans="1:9" ht="13.15" customHeight="1" x14ac:dyDescent="0.2">
      <c r="A4" s="20" t="s">
        <v>35</v>
      </c>
      <c r="B4" s="46">
        <f ca="1">IF(ISERROR(INDEX(ReceivedTime,$A$1)), "", IF(ISBLANK(INDEX(ReceivedTime,$A$1)), "", INDEX(ReceivedTime,$A$1)))</f>
        <v>0.38541666666666669</v>
      </c>
      <c r="C4" s="3"/>
      <c r="D4" s="20" t="s">
        <v>17</v>
      </c>
      <c r="E4" s="41" t="str">
        <f ca="1">IF(ISERROR(INDEX(Project.Name,$A$1)), "", IF(ISBLANK(INDEX(Project.Name,$A$1)), "", INDEX(Project.Name,$A$1)))</f>
        <v>HABs</v>
      </c>
    </row>
    <row r="5" spans="1:9" ht="12.75" customHeight="1" x14ac:dyDescent="0.2">
      <c r="A5" s="20" t="s">
        <v>36</v>
      </c>
      <c r="B5" s="22" t="str">
        <f ca="1">IF(ISERROR(INDEX(SampleType.Name,$A$1)), "", IF(ISBLANK(INDEX(SampleType.Name,$A$1)), "", INDEX(SampleType.Name,$A$1)))</f>
        <v>Water Grab</v>
      </c>
      <c r="C5" s="19"/>
      <c r="D5" s="20" t="s">
        <v>25</v>
      </c>
      <c r="E5" s="3" t="str">
        <f ca="1">IF(ISERROR(INDEX(Location.Name,$A$1)), "", IF(ISBLANK(INDEX(Location.Name,$A$1)), "", INDEX(Location.Name,$A$1)))</f>
        <v>JB</v>
      </c>
      <c r="F5" s="10"/>
      <c r="G5" s="3"/>
    </row>
    <row r="6" spans="1:9" ht="12.75" customHeight="1" x14ac:dyDescent="0.2">
      <c r="A6" s="20" t="s">
        <v>16</v>
      </c>
      <c r="B6" s="10" t="str">
        <f ca="1">IF(ISERROR(INDEX(Description,$A$1)), "", IF(ISBLANK(INDEX(Description,$A$1)), "", INDEX(Description,$A$1)))</f>
        <v>BV1310</v>
      </c>
      <c r="C6" s="46"/>
      <c r="D6" s="20" t="s">
        <v>9</v>
      </c>
      <c r="E6" s="65">
        <f ca="1">IF(ISERROR(INDEX(CollectedDateTime,$A$1)), "", IF(ISBLANK(INDEX(CollectedDateTime,$A$1)), "", INDEX(CollectedDateTime,$A$1)))</f>
        <v>45567.464583333334</v>
      </c>
      <c r="F6" s="65"/>
      <c r="G6" s="3"/>
    </row>
    <row r="7" spans="1:9" ht="12.75" customHeight="1" x14ac:dyDescent="0.2">
      <c r="A7" s="20" t="s">
        <v>24</v>
      </c>
      <c r="B7" s="21">
        <f ca="1">NOW()</f>
        <v>45580.517125694445</v>
      </c>
      <c r="C7" s="3"/>
      <c r="D7" s="11"/>
    </row>
    <row r="8" spans="1:9" ht="12.75" customHeight="1" x14ac:dyDescent="0.2">
      <c r="C8" s="3"/>
      <c r="D8" s="20" t="s">
        <v>13</v>
      </c>
      <c r="E8" s="10" t="str">
        <f ca="1">IF(ISERROR(INDEX(CustomerSampleID,$A$1)), "", IF(ISBLANK(INDEX(CustomerSampleID,$A$1)), "", INDEX(CustomerSampleID,$A$1)))</f>
        <v>2831</v>
      </c>
    </row>
    <row r="9" spans="1:9" ht="12.75" customHeight="1" x14ac:dyDescent="0.2">
      <c r="C9" s="3"/>
      <c r="F9" s="18"/>
      <c r="G9" s="23"/>
      <c r="H9" s="10"/>
    </row>
    <row r="10" spans="1:9" x14ac:dyDescent="0.2">
      <c r="A10" s="33" t="s">
        <v>33</v>
      </c>
      <c r="B10" s="3"/>
      <c r="C10" s="3"/>
      <c r="D10" s="3"/>
      <c r="F10" s="3"/>
      <c r="G10" s="3"/>
      <c r="H10" s="10"/>
    </row>
    <row r="11" spans="1:9" s="7" customFormat="1" ht="15.75" customHeight="1" x14ac:dyDescent="0.2">
      <c r="A11" s="50" t="s">
        <v>8</v>
      </c>
      <c r="B11" s="26" t="s">
        <v>14</v>
      </c>
      <c r="C11" s="26" t="s">
        <v>6</v>
      </c>
      <c r="D11" s="32" t="s">
        <v>39</v>
      </c>
      <c r="E11" s="26" t="s">
        <v>7</v>
      </c>
      <c r="F11" s="26" t="s">
        <v>31</v>
      </c>
      <c r="G11" s="58" t="s">
        <v>27</v>
      </c>
      <c r="I11" s="9"/>
    </row>
    <row r="12" spans="1:9" s="3" customFormat="1" ht="19.899999999999999" customHeight="1" x14ac:dyDescent="0.2">
      <c r="A12" s="17" t="str">
        <f ca="1">IF(ISBLANK(INDEX(Method.Name, ROW() - ROW(OneAnalysisResults) + $B$1)), "",INDEX(Method.Name, ROW() - ROW(OneAnalysisResults) + $B$1))</f>
        <v>ELISA</v>
      </c>
      <c r="B12" s="17" t="str">
        <f ca="1">IF(ISBLANK(INDEX(AnalyteReportName, ROW() - ROW(OneAnalysisResults) + $B$1)), "",INDEX(AnalyteReportName, ROW() - ROW(OneAnalysisResults) + $B$1))</f>
        <v>Microcystin/Nod.</v>
      </c>
      <c r="C12" s="17" t="str">
        <f ca="1">IF(ISBLANK(INDEX(AnalysisResultFormatted, ROW() - ROW(OneAnalysisResults) + $B$1)), "",INDEX(AnalysisResultFormatted, ROW() - ROW(OneAnalysisResults) + $B$1))</f>
        <v>1.15</v>
      </c>
      <c r="D12" s="59">
        <f ca="1">IF(ISBLANK(INDEX(DilutionFactor, ROW() - ROW(OneAnalysisResults) + $B$1)), "",INDEX(DilutionFactor, ROW() - ROW(OneAnalysisResults) + $B$1))</f>
        <v>0.3</v>
      </c>
      <c r="E12" s="17" t="str">
        <f ca="1">IF(ISBLANK(INDEX(Abbreviation, ROW() - ROW(OneAnalysisResults) + $B$1)), "",INDEX(Abbreviation, ROW() - ROW(OneAnalysisResults) + $B$1))</f>
        <v>μg/L</v>
      </c>
      <c r="F12" s="17" t="s">
        <v>40</v>
      </c>
      <c r="G12" s="17">
        <v>1</v>
      </c>
    </row>
    <row r="13" spans="1:9" s="3" customFormat="1" ht="19.899999999999999" customHeight="1" x14ac:dyDescent="0.2">
      <c r="A13" s="17"/>
      <c r="B13" s="17"/>
      <c r="C13" s="17"/>
      <c r="D13" s="17"/>
      <c r="E13" s="17"/>
      <c r="F13" s="17"/>
      <c r="G13" s="17"/>
    </row>
    <row r="14" spans="1:9" ht="12" customHeight="1" x14ac:dyDescent="0.2">
      <c r="B14" s="3"/>
      <c r="C14" s="3"/>
      <c r="E14" s="3"/>
      <c r="F14" s="45"/>
      <c r="G14" s="17"/>
      <c r="H14" s="10"/>
    </row>
    <row r="15" spans="1:9" x14ac:dyDescent="0.2">
      <c r="A15" s="3"/>
      <c r="C15" s="3"/>
      <c r="D15" s="3"/>
      <c r="E15" s="3"/>
      <c r="F15" s="17"/>
      <c r="G15" s="17"/>
      <c r="H15" s="10"/>
    </row>
    <row r="16" spans="1:9" x14ac:dyDescent="0.2">
      <c r="A16" s="3"/>
      <c r="B16" s="3"/>
      <c r="C16" s="3"/>
      <c r="D16" s="3"/>
      <c r="E16" s="3"/>
      <c r="F16" s="3"/>
      <c r="G16" s="17"/>
      <c r="H16" s="10"/>
    </row>
    <row r="17" spans="1:9" x14ac:dyDescent="0.2">
      <c r="A17" s="3"/>
      <c r="B17" s="3"/>
      <c r="C17" s="3"/>
      <c r="D17" s="3"/>
      <c r="E17" s="3"/>
      <c r="F17" s="3"/>
      <c r="G17" s="17"/>
      <c r="H17" s="10"/>
    </row>
    <row r="18" spans="1:9" x14ac:dyDescent="0.2">
      <c r="A18" s="24"/>
      <c r="B18" s="24"/>
      <c r="C18" s="24"/>
      <c r="D18" s="3"/>
      <c r="E18" s="18"/>
      <c r="F18" s="18"/>
      <c r="G18" s="18"/>
      <c r="H18" s="3"/>
      <c r="I18" s="11"/>
    </row>
    <row r="19" spans="1:9" x14ac:dyDescent="0.2">
      <c r="A19" s="24"/>
      <c r="B19" s="24"/>
      <c r="C19" s="24"/>
      <c r="D19" s="3"/>
      <c r="E19" s="18"/>
      <c r="F19" s="18"/>
      <c r="G19" s="18"/>
      <c r="H19" s="3"/>
      <c r="I19" s="11"/>
    </row>
    <row r="20" spans="1:9" x14ac:dyDescent="0.2">
      <c r="A20" s="24"/>
      <c r="B20" s="24"/>
      <c r="C20" s="24"/>
      <c r="D20" s="3"/>
      <c r="E20" s="3"/>
      <c r="F20" s="3"/>
      <c r="G20" s="3"/>
      <c r="H20" s="10"/>
    </row>
    <row r="21" spans="1:9" x14ac:dyDescent="0.2">
      <c r="A21" s="3"/>
      <c r="B21" s="3"/>
      <c r="C21" s="3"/>
      <c r="D21" s="3"/>
      <c r="E21" s="3"/>
      <c r="F21" s="3"/>
      <c r="G21" s="3"/>
      <c r="H21" s="10"/>
    </row>
    <row r="22" spans="1:9" x14ac:dyDescent="0.2">
      <c r="A22" s="3"/>
      <c r="B22" s="3"/>
      <c r="C22" s="3"/>
      <c r="D22" s="3"/>
      <c r="E22" s="3"/>
      <c r="F22" s="3"/>
      <c r="G22" s="3"/>
      <c r="H22" s="10"/>
    </row>
    <row r="23" spans="1:9" x14ac:dyDescent="0.2">
      <c r="A23" s="3"/>
      <c r="B23" s="3"/>
      <c r="C23" s="3"/>
      <c r="D23" s="3"/>
      <c r="E23" s="3"/>
      <c r="F23" s="3"/>
      <c r="G23" s="3"/>
      <c r="H23" s="10"/>
    </row>
    <row r="24" spans="1:9" x14ac:dyDescent="0.2">
      <c r="A24" s="3"/>
      <c r="B24" s="3"/>
      <c r="C24" s="3"/>
      <c r="D24" s="3"/>
      <c r="E24" s="3"/>
      <c r="F24" s="3"/>
      <c r="G24" s="3"/>
      <c r="H24" s="10"/>
    </row>
    <row r="25" spans="1:9" x14ac:dyDescent="0.2">
      <c r="A25" s="3"/>
      <c r="B25" s="3"/>
      <c r="C25" s="3"/>
      <c r="D25" s="3"/>
      <c r="E25" s="3"/>
      <c r="F25" s="3"/>
      <c r="G25" s="3"/>
      <c r="H25" s="10"/>
    </row>
    <row r="26" spans="1:9" x14ac:dyDescent="0.2">
      <c r="A26" s="3"/>
      <c r="B26" s="3"/>
      <c r="C26" s="3"/>
      <c r="D26" s="3"/>
      <c r="E26" s="3"/>
      <c r="F26" s="3"/>
      <c r="G26" s="3"/>
      <c r="H26" s="10"/>
    </row>
    <row r="27" spans="1:9" x14ac:dyDescent="0.2">
      <c r="A27" s="3"/>
      <c r="B27" s="3"/>
      <c r="C27" s="3"/>
      <c r="D27" s="3"/>
      <c r="E27" s="3"/>
      <c r="F27" s="3"/>
      <c r="G27" s="3"/>
    </row>
    <row r="28" spans="1:9" x14ac:dyDescent="0.2">
      <c r="A28" s="3"/>
      <c r="B28" s="3"/>
      <c r="C28" s="3"/>
      <c r="D28" s="3"/>
      <c r="E28" s="3"/>
      <c r="F28" s="3"/>
      <c r="G28" s="3"/>
    </row>
    <row r="29" spans="1:9" x14ac:dyDescent="0.2">
      <c r="A29" s="3"/>
      <c r="B29" s="3"/>
      <c r="C29" s="3"/>
      <c r="D29" s="3"/>
      <c r="E29" s="3"/>
      <c r="F29" s="3"/>
      <c r="G29" s="3"/>
    </row>
    <row r="30" spans="1:9" x14ac:dyDescent="0.2">
      <c r="A30" s="3"/>
      <c r="B30" s="3"/>
      <c r="C30" s="3"/>
      <c r="D30" s="3"/>
      <c r="E30" s="3"/>
      <c r="F30" s="3"/>
      <c r="G30" s="3"/>
    </row>
    <row r="31" spans="1:9" x14ac:dyDescent="0.2">
      <c r="A31" s="3"/>
      <c r="B31" s="3"/>
      <c r="C31" s="3"/>
      <c r="D31" s="3"/>
      <c r="E31" s="3"/>
      <c r="F31" s="3"/>
      <c r="G31" s="43"/>
    </row>
    <row r="32" spans="1:9" x14ac:dyDescent="0.2">
      <c r="A32" s="3"/>
      <c r="B32" s="3"/>
      <c r="C32" s="3"/>
      <c r="D32" s="3"/>
      <c r="E32" s="3"/>
      <c r="F32" s="3"/>
      <c r="G32" s="43"/>
    </row>
    <row r="33" spans="1:9" x14ac:dyDescent="0.2">
      <c r="A33" s="3"/>
      <c r="B33" s="3"/>
      <c r="C33" s="3"/>
      <c r="D33" s="3"/>
      <c r="E33" s="3"/>
      <c r="F33" s="3"/>
      <c r="G33" s="43"/>
    </row>
    <row r="34" spans="1:9" x14ac:dyDescent="0.2">
      <c r="A34" s="3"/>
      <c r="B34" s="3"/>
      <c r="C34" s="3"/>
      <c r="D34" s="3"/>
      <c r="E34" s="3"/>
      <c r="F34" s="3"/>
      <c r="G34" s="43"/>
    </row>
    <row r="35" spans="1:9" x14ac:dyDescent="0.2">
      <c r="A35" s="3"/>
      <c r="B35" s="3"/>
      <c r="C35" s="3"/>
      <c r="D35" s="3"/>
      <c r="E35" s="3"/>
      <c r="F35" s="3"/>
    </row>
    <row r="36" spans="1:9" x14ac:dyDescent="0.2">
      <c r="A36" s="3"/>
      <c r="B36" s="3"/>
      <c r="C36" s="3"/>
      <c r="D36" s="3"/>
      <c r="E36" s="3"/>
      <c r="F36" s="3"/>
      <c r="G36" s="43"/>
    </row>
    <row r="37" spans="1:9" x14ac:dyDescent="0.2">
      <c r="A37" s="3"/>
      <c r="B37" s="3"/>
      <c r="C37" s="3"/>
      <c r="D37" s="3"/>
      <c r="E37" s="3"/>
      <c r="F37" s="3"/>
      <c r="G37" s="43"/>
    </row>
    <row r="38" spans="1:9" s="11" customFormat="1" x14ac:dyDescent="0.2">
      <c r="A38" s="3"/>
      <c r="B38" s="3"/>
      <c r="C38" s="3"/>
      <c r="D38" s="3"/>
      <c r="E38" s="3"/>
      <c r="F38" s="3"/>
      <c r="G38" s="44"/>
      <c r="I38"/>
    </row>
    <row r="39" spans="1:9" s="11" customFormat="1" x14ac:dyDescent="0.2">
      <c r="A39" s="3"/>
      <c r="B39" s="3"/>
      <c r="C39" s="3"/>
      <c r="D39" s="3"/>
      <c r="E39" s="3"/>
      <c r="F39" s="3"/>
      <c r="G39" s="43"/>
      <c r="I39"/>
    </row>
    <row r="40" spans="1:9" s="11" customFormat="1" x14ac:dyDescent="0.2">
      <c r="A40" s="3"/>
      <c r="B40" s="3"/>
      <c r="C40" s="3"/>
      <c r="D40" s="3"/>
      <c r="E40" s="3"/>
      <c r="F40" s="3"/>
      <c r="I40"/>
    </row>
    <row r="41" spans="1:9" s="11" customFormat="1" x14ac:dyDescent="0.2">
      <c r="A41" s="3"/>
      <c r="B41" s="3"/>
      <c r="C41" s="3"/>
      <c r="D41" s="3"/>
      <c r="E41" s="3"/>
      <c r="F41" s="3"/>
      <c r="G41" s="43"/>
      <c r="I41"/>
    </row>
    <row r="42" spans="1:9" s="11" customFormat="1" x14ac:dyDescent="0.2">
      <c r="A42" s="3"/>
      <c r="B42" s="3"/>
      <c r="C42" s="3"/>
      <c r="D42" s="3"/>
      <c r="E42" s="3"/>
      <c r="F42" s="3"/>
      <c r="G42" s="43"/>
      <c r="I42"/>
    </row>
    <row r="43" spans="1:9" s="11" customFormat="1" x14ac:dyDescent="0.2">
      <c r="A43" s="3"/>
      <c r="B43" s="3"/>
      <c r="C43" s="3"/>
      <c r="D43" s="3"/>
      <c r="E43" s="3"/>
      <c r="F43" s="3"/>
      <c r="G43" s="43"/>
      <c r="I43"/>
    </row>
    <row r="44" spans="1:9" s="11" customFormat="1" x14ac:dyDescent="0.2">
      <c r="A44" s="3"/>
      <c r="B44" s="3"/>
      <c r="C44" s="3"/>
      <c r="D44" s="3"/>
      <c r="E44" s="3"/>
      <c r="F44" s="3"/>
      <c r="G44" s="43"/>
      <c r="I44"/>
    </row>
    <row r="45" spans="1:9" s="11" customFormat="1" x14ac:dyDescent="0.2">
      <c r="A45" s="3"/>
      <c r="B45" s="3"/>
      <c r="C45" s="3"/>
      <c r="D45" s="3"/>
      <c r="E45" s="3"/>
      <c r="F45" s="3"/>
      <c r="G45" s="43"/>
      <c r="I45"/>
    </row>
    <row r="46" spans="1:9" s="11" customFormat="1" x14ac:dyDescent="0.2">
      <c r="A46" s="3"/>
      <c r="B46" s="3"/>
      <c r="C46" s="3"/>
      <c r="D46" s="3"/>
      <c r="E46" s="3"/>
      <c r="F46" s="3"/>
      <c r="G46" s="43"/>
      <c r="I46"/>
    </row>
    <row r="47" spans="1:9" s="11" customFormat="1" x14ac:dyDescent="0.2">
      <c r="A47"/>
      <c r="B47"/>
      <c r="C47"/>
      <c r="D47"/>
      <c r="E47"/>
      <c r="F47"/>
      <c r="G47" s="44"/>
      <c r="I47"/>
    </row>
    <row r="53" spans="7:7" x14ac:dyDescent="0.2">
      <c r="G53" s="43" t="s">
        <v>374</v>
      </c>
    </row>
  </sheetData>
  <mergeCells count="1">
    <mergeCell ref="E6:F6"/>
  </mergeCells>
  <conditionalFormatting sqref="B12:B13">
    <cfRule type="cellIs" dxfId="8" priority="1" stopIfTrue="1" operator="equal">
      <formula>#REF!</formula>
    </cfRule>
  </conditionalFormatting>
  <pageMargins left="0.5" right="0.5" top="0.5" bottom="0.5" header="0.5" footer="0.5"/>
  <pageSetup firstPageNumber="2" fitToHeight="0" orientation="portrait"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BF0BA0-3F10-481D-9533-9ADA46063DB1}">
  <sheetPr codeName="CofA5"/>
  <dimension ref="A1:I53"/>
  <sheetViews>
    <sheetView topLeftCell="A2" zoomScaleNormal="100" workbookViewId="0">
      <selection activeCell="G53" sqref="G53"/>
    </sheetView>
  </sheetViews>
  <sheetFormatPr defaultColWidth="2.7109375" defaultRowHeight="12.75" x14ac:dyDescent="0.2"/>
  <cols>
    <col min="1" max="1" width="18" customWidth="1"/>
    <col min="2" max="2" width="17.7109375" customWidth="1"/>
    <col min="3" max="3" width="14.140625" customWidth="1"/>
    <col min="4" max="4" width="15" customWidth="1"/>
    <col min="5" max="5" width="11.85546875" customWidth="1"/>
    <col min="6" max="6" width="8" customWidth="1"/>
    <col min="7" max="7" width="10.42578125" customWidth="1"/>
    <col min="8" max="8" width="12.140625" style="11" customWidth="1"/>
    <col min="9" max="9" width="10.140625" customWidth="1"/>
  </cols>
  <sheetData>
    <row r="1" spans="1:9" s="3" customFormat="1" ht="11.25" hidden="1" customHeight="1" x14ac:dyDescent="0.2">
      <c r="A1" s="3">
        <f ca="1">SheetNumber()</f>
        <v>6</v>
      </c>
      <c r="B1" s="3">
        <f ca="1">MATCH(INDEX(SampleID, A1), AnalysisSampleID, 0)</f>
        <v>7</v>
      </c>
      <c r="H1" s="10"/>
    </row>
    <row r="2" spans="1:9" s="3" customFormat="1" ht="61.5" customHeight="1" x14ac:dyDescent="0.2">
      <c r="H2" s="10"/>
    </row>
    <row r="3" spans="1:9" x14ac:dyDescent="0.2">
      <c r="A3" s="20" t="s">
        <v>4</v>
      </c>
      <c r="B3" s="22">
        <f ca="1">IF(ISERROR(INDEX(ReceivedDate,$A$1)), "", IF(ISBLANK(INDEX(ReceivedDate,$A$1)), "", INDEX(ReceivedDate,$A$1)))</f>
        <v>45569</v>
      </c>
      <c r="D3" s="20" t="s">
        <v>5</v>
      </c>
      <c r="E3" s="41" t="str">
        <f ca="1">IF(ISERROR(INDEX(Customer.Name,$A$1)), "", IF(ISBLANK(INDEX(Customer.Name,$A$1)), "", INDEX(Customer.Name,$A$1)))</f>
        <v>Big Valley</v>
      </c>
      <c r="F3" s="10"/>
      <c r="G3" s="3"/>
    </row>
    <row r="4" spans="1:9" ht="13.15" customHeight="1" x14ac:dyDescent="0.2">
      <c r="A4" s="20" t="s">
        <v>35</v>
      </c>
      <c r="B4" s="46">
        <f ca="1">IF(ISERROR(INDEX(ReceivedTime,$A$1)), "", IF(ISBLANK(INDEX(ReceivedTime,$A$1)), "", INDEX(ReceivedTime,$A$1)))</f>
        <v>0.38541666666666669</v>
      </c>
      <c r="C4" s="3"/>
      <c r="D4" s="20" t="s">
        <v>17</v>
      </c>
      <c r="E4" s="41" t="str">
        <f ca="1">IF(ISERROR(INDEX(Project.Name,$A$1)), "", IF(ISBLANK(INDEX(Project.Name,$A$1)), "", INDEX(Project.Name,$A$1)))</f>
        <v>HABs</v>
      </c>
    </row>
    <row r="5" spans="1:9" ht="12.75" customHeight="1" x14ac:dyDescent="0.2">
      <c r="A5" s="20" t="s">
        <v>36</v>
      </c>
      <c r="B5" s="22" t="str">
        <f ca="1">IF(ISERROR(INDEX(SampleType.Name,$A$1)), "", IF(ISBLANK(INDEX(SampleType.Name,$A$1)), "", INDEX(SampleType.Name,$A$1)))</f>
        <v>Water Grab</v>
      </c>
      <c r="C5" s="19"/>
      <c r="D5" s="20" t="s">
        <v>25</v>
      </c>
      <c r="E5" s="3" t="str">
        <f ca="1">IF(ISERROR(INDEX(Location.Name,$A$1)), "", IF(ISBLANK(INDEX(Location.Name,$A$1)), "", INDEX(Location.Name,$A$1)))</f>
        <v>RED01</v>
      </c>
      <c r="F5" s="10"/>
      <c r="G5" s="3"/>
    </row>
    <row r="6" spans="1:9" ht="12.75" customHeight="1" x14ac:dyDescent="0.2">
      <c r="A6" s="20" t="s">
        <v>16</v>
      </c>
      <c r="B6" s="10" t="str">
        <f ca="1">IF(ISERROR(INDEX(Description,$A$1)), "", IF(ISBLANK(INDEX(Description,$A$1)), "", INDEX(Description,$A$1)))</f>
        <v>BV1311</v>
      </c>
      <c r="C6" s="46"/>
      <c r="D6" s="20" t="s">
        <v>9</v>
      </c>
      <c r="E6" s="65">
        <f ca="1">IF(ISERROR(INDEX(CollectedDateTime,$A$1)), "", IF(ISBLANK(INDEX(CollectedDateTime,$A$1)), "", INDEX(CollectedDateTime,$A$1)))</f>
        <v>45567.522222222222</v>
      </c>
      <c r="F6" s="65"/>
      <c r="G6" s="3"/>
    </row>
    <row r="7" spans="1:9" ht="12.75" customHeight="1" x14ac:dyDescent="0.2">
      <c r="A7" s="20" t="s">
        <v>24</v>
      </c>
      <c r="B7" s="21">
        <f ca="1">NOW()</f>
        <v>45580.517125694445</v>
      </c>
      <c r="C7" s="3"/>
      <c r="D7" s="11"/>
    </row>
    <row r="8" spans="1:9" ht="12.75" customHeight="1" x14ac:dyDescent="0.2">
      <c r="C8" s="3"/>
      <c r="D8" s="20" t="s">
        <v>13</v>
      </c>
      <c r="E8" s="10" t="str">
        <f ca="1">IF(ISERROR(INDEX(CustomerSampleID,$A$1)), "", IF(ISBLANK(INDEX(CustomerSampleID,$A$1)), "", INDEX(CustomerSampleID,$A$1)))</f>
        <v>2832</v>
      </c>
    </row>
    <row r="9" spans="1:9" ht="12.75" customHeight="1" x14ac:dyDescent="0.2">
      <c r="C9" s="3"/>
      <c r="F9" s="18"/>
      <c r="G9" s="23"/>
      <c r="H9" s="10"/>
    </row>
    <row r="10" spans="1:9" x14ac:dyDescent="0.2">
      <c r="A10" s="33" t="s">
        <v>33</v>
      </c>
      <c r="B10" s="3"/>
      <c r="C10" s="3"/>
      <c r="D10" s="3"/>
      <c r="F10" s="3"/>
      <c r="G10" s="3"/>
      <c r="H10" s="10"/>
    </row>
    <row r="11" spans="1:9" s="7" customFormat="1" ht="15.75" customHeight="1" x14ac:dyDescent="0.2">
      <c r="A11" s="50" t="s">
        <v>8</v>
      </c>
      <c r="B11" s="26" t="s">
        <v>14</v>
      </c>
      <c r="C11" s="26" t="s">
        <v>6</v>
      </c>
      <c r="D11" s="32" t="s">
        <v>39</v>
      </c>
      <c r="E11" s="26" t="s">
        <v>7</v>
      </c>
      <c r="F11" s="26" t="s">
        <v>31</v>
      </c>
      <c r="G11" s="58" t="s">
        <v>27</v>
      </c>
      <c r="I11" s="9"/>
    </row>
    <row r="12" spans="1:9" s="3" customFormat="1" ht="19.899999999999999" customHeight="1" x14ac:dyDescent="0.2">
      <c r="A12" s="17" t="str">
        <f ca="1">IF(ISBLANK(INDEX(Method.Name, ROW() - ROW(OneAnalysisResults) + $B$1)), "",INDEX(Method.Name, ROW() - ROW(OneAnalysisResults) + $B$1))</f>
        <v>ELISA</v>
      </c>
      <c r="B12" s="17" t="str">
        <f ca="1">IF(ISBLANK(INDEX(AnalyteReportName, ROW() - ROW(OneAnalysisResults) + $B$1)), "",INDEX(AnalyteReportName, ROW() - ROW(OneAnalysisResults) + $B$1))</f>
        <v>Microcystin/Nod.</v>
      </c>
      <c r="C12" s="17" t="str">
        <f ca="1">IF(ISBLANK(INDEX(AnalysisResultFormatted, ROW() - ROW(OneAnalysisResults) + $B$1)), "",INDEX(AnalysisResultFormatted, ROW() - ROW(OneAnalysisResults) + $B$1))</f>
        <v>1.24</v>
      </c>
      <c r="D12" s="17">
        <f ca="1">IF(ISBLANK(INDEX(DilutionFactor, ROW() - ROW(OneAnalysisResults) + $B$1)), "",INDEX(DilutionFactor, ROW() - ROW(OneAnalysisResults) + $B$1))</f>
        <v>0.15</v>
      </c>
      <c r="E12" s="17" t="str">
        <f ca="1">IF(ISBLANK(INDEX(Abbreviation, ROW() - ROW(OneAnalysisResults) + $B$1)), "",INDEX(Abbreviation, ROW() - ROW(OneAnalysisResults) + $B$1))</f>
        <v>μg/L</v>
      </c>
      <c r="F12" s="17"/>
      <c r="G12" s="17">
        <v>1</v>
      </c>
    </row>
    <row r="13" spans="1:9" s="3" customFormat="1" ht="19.899999999999999" customHeight="1" x14ac:dyDescent="0.2">
      <c r="A13" s="17" t="str">
        <f ca="1">IF(ISBLANK(INDEX(Method.Name, ROW() - ROW(OneAnalysisResults) + $B$1)), "",INDEX(Method.Name, ROW() - ROW(OneAnalysisResults) + $B$1))</f>
        <v>QPCR</v>
      </c>
      <c r="B13" s="17" t="str">
        <f ca="1">IF(ISBLANK(INDEX(AnalyteReportName, ROW() - ROW(OneAnalysisResults) + $B$1)), "",INDEX(AnalyteReportName, ROW() - ROW(OneAnalysisResults) + $B$1))</f>
        <v>Saxitoxin</v>
      </c>
      <c r="C13" s="17" t="str">
        <f ca="1">IF(ISBLANK(INDEX(AnalysisResultFormatted, ROW() - ROW(OneAnalysisResults) + $B$1)), "",INDEX(AnalysisResultFormatted, ROW() - ROW(OneAnalysisResults) + $B$1))</f>
        <v>347</v>
      </c>
      <c r="D13" s="17">
        <f ca="1">IF(ISBLANK(INDEX(DilutionFactor, ROW() - ROW(OneAnalysisResults) + $B$1)), "",INDEX(DilutionFactor, ROW() - ROW(OneAnalysisResults) + $B$1))</f>
        <v>100</v>
      </c>
      <c r="E13" s="17" t="str">
        <f ca="1">IF(ISBLANK(INDEX(Abbreviation, ROW() - ROW(OneAnalysisResults) + $B$1)), "",INDEX(Abbreviation, ROW() - ROW(OneAnalysisResults) + $B$1))</f>
        <v>copies/mL</v>
      </c>
      <c r="F13" s="17"/>
      <c r="G13" s="17"/>
    </row>
    <row r="14" spans="1:9" s="3" customFormat="1" ht="19.899999999999999" customHeight="1" x14ac:dyDescent="0.2">
      <c r="A14" s="17"/>
      <c r="B14" s="17"/>
      <c r="C14" s="17"/>
      <c r="D14" s="17"/>
      <c r="E14" s="17"/>
      <c r="F14" s="17"/>
      <c r="G14" s="17"/>
    </row>
    <row r="15" spans="1:9" ht="12" customHeight="1" x14ac:dyDescent="0.2">
      <c r="B15" s="3"/>
      <c r="C15" s="3"/>
      <c r="E15" s="3"/>
      <c r="F15" s="45"/>
      <c r="G15" s="17"/>
      <c r="H15" s="10"/>
    </row>
    <row r="16" spans="1:9" x14ac:dyDescent="0.2">
      <c r="A16" s="3"/>
      <c r="C16" s="3"/>
      <c r="D16" s="3"/>
      <c r="E16" s="3"/>
      <c r="F16" s="17"/>
      <c r="G16" s="17"/>
      <c r="H16" s="10"/>
    </row>
    <row r="17" spans="1:9" x14ac:dyDescent="0.2">
      <c r="A17" s="3"/>
      <c r="B17" s="3"/>
      <c r="C17" s="3"/>
      <c r="D17" s="3"/>
      <c r="E17" s="3"/>
      <c r="F17" s="3"/>
      <c r="G17" s="17"/>
      <c r="H17" s="10"/>
    </row>
    <row r="18" spans="1:9" x14ac:dyDescent="0.2">
      <c r="A18" s="3"/>
      <c r="B18" s="3"/>
      <c r="C18" s="3"/>
      <c r="D18" s="3"/>
      <c r="E18" s="3"/>
      <c r="F18" s="3"/>
      <c r="G18" s="17"/>
      <c r="H18" s="10"/>
    </row>
    <row r="19" spans="1:9" x14ac:dyDescent="0.2">
      <c r="A19" s="24"/>
      <c r="B19" s="24"/>
      <c r="C19" s="24"/>
      <c r="D19" s="3"/>
      <c r="E19" s="18"/>
      <c r="F19" s="18"/>
      <c r="G19" s="18"/>
      <c r="H19" s="3"/>
      <c r="I19" s="11"/>
    </row>
    <row r="20" spans="1:9" x14ac:dyDescent="0.2">
      <c r="A20" s="24"/>
      <c r="B20" s="24"/>
      <c r="C20" s="24"/>
      <c r="D20" s="3"/>
      <c r="E20" s="18"/>
      <c r="F20" s="18"/>
      <c r="G20" s="18"/>
      <c r="H20" s="3"/>
      <c r="I20" s="11"/>
    </row>
    <row r="21" spans="1:9" x14ac:dyDescent="0.2">
      <c r="A21" s="24"/>
      <c r="B21" s="24"/>
      <c r="C21" s="24"/>
      <c r="D21" s="3"/>
      <c r="E21" s="3"/>
      <c r="F21" s="3"/>
      <c r="G21" s="3"/>
      <c r="H21" s="10"/>
    </row>
    <row r="22" spans="1:9" x14ac:dyDescent="0.2">
      <c r="A22" s="3"/>
      <c r="B22" s="3"/>
      <c r="C22" s="3"/>
      <c r="D22" s="3"/>
      <c r="E22" s="3"/>
      <c r="F22" s="3"/>
      <c r="G22" s="3"/>
      <c r="H22" s="10"/>
    </row>
    <row r="23" spans="1:9" x14ac:dyDescent="0.2">
      <c r="A23" s="3"/>
      <c r="B23" s="3"/>
      <c r="C23" s="3"/>
      <c r="D23" s="3"/>
      <c r="E23" s="3"/>
      <c r="F23" s="3"/>
      <c r="G23" s="3"/>
      <c r="H23" s="10"/>
    </row>
    <row r="24" spans="1:9" x14ac:dyDescent="0.2">
      <c r="A24" s="3"/>
      <c r="B24" s="3"/>
      <c r="C24" s="3"/>
      <c r="D24" s="3"/>
      <c r="E24" s="3"/>
      <c r="F24" s="3"/>
      <c r="G24" s="3"/>
      <c r="H24" s="10"/>
    </row>
    <row r="25" spans="1:9" x14ac:dyDescent="0.2">
      <c r="A25" s="3"/>
      <c r="B25" s="3"/>
      <c r="C25" s="3"/>
      <c r="D25" s="3"/>
      <c r="E25" s="3"/>
      <c r="F25" s="3"/>
      <c r="G25" s="3"/>
      <c r="H25" s="10"/>
    </row>
    <row r="26" spans="1:9" x14ac:dyDescent="0.2">
      <c r="A26" s="3"/>
      <c r="B26" s="3"/>
      <c r="C26" s="3"/>
      <c r="D26" s="3"/>
      <c r="E26" s="3"/>
      <c r="F26" s="3"/>
      <c r="G26" s="3"/>
      <c r="H26" s="10"/>
    </row>
    <row r="27" spans="1:9" x14ac:dyDescent="0.2">
      <c r="A27" s="3"/>
      <c r="B27" s="3"/>
      <c r="C27" s="3"/>
      <c r="D27" s="3"/>
      <c r="E27" s="3"/>
      <c r="F27" s="3"/>
      <c r="G27" s="3"/>
      <c r="H27" s="10"/>
    </row>
    <row r="28" spans="1:9" x14ac:dyDescent="0.2">
      <c r="A28" s="3"/>
      <c r="B28" s="3"/>
      <c r="C28" s="3"/>
      <c r="D28" s="3"/>
      <c r="E28" s="3"/>
      <c r="F28" s="3"/>
      <c r="G28" s="3"/>
    </row>
    <row r="29" spans="1:9" x14ac:dyDescent="0.2">
      <c r="A29" s="3"/>
      <c r="B29" s="3"/>
      <c r="C29" s="3"/>
      <c r="D29" s="3"/>
      <c r="E29" s="3"/>
      <c r="F29" s="3"/>
      <c r="G29" s="3"/>
    </row>
    <row r="30" spans="1:9" x14ac:dyDescent="0.2">
      <c r="A30" s="3"/>
      <c r="B30" s="3"/>
      <c r="C30" s="3"/>
      <c r="D30" s="3"/>
      <c r="E30" s="3"/>
      <c r="F30" s="3"/>
      <c r="G30" s="3"/>
    </row>
    <row r="31" spans="1:9" x14ac:dyDescent="0.2">
      <c r="A31" s="3"/>
      <c r="B31" s="3"/>
      <c r="C31" s="3"/>
      <c r="D31" s="3"/>
      <c r="E31" s="3"/>
      <c r="F31" s="3"/>
      <c r="G31" s="3"/>
    </row>
    <row r="32" spans="1:9" x14ac:dyDescent="0.2">
      <c r="A32" s="3"/>
      <c r="B32" s="3"/>
      <c r="C32" s="3"/>
      <c r="D32" s="3"/>
      <c r="E32" s="3"/>
      <c r="F32" s="3"/>
      <c r="G32" s="43"/>
    </row>
    <row r="33" spans="1:9" x14ac:dyDescent="0.2">
      <c r="A33" s="3"/>
      <c r="B33" s="3"/>
      <c r="C33" s="3"/>
      <c r="D33" s="3"/>
      <c r="E33" s="3"/>
      <c r="F33" s="3"/>
      <c r="G33" s="43"/>
    </row>
    <row r="34" spans="1:9" x14ac:dyDescent="0.2">
      <c r="A34" s="3"/>
      <c r="B34" s="3"/>
      <c r="C34" s="3"/>
      <c r="D34" s="3"/>
      <c r="E34" s="3"/>
      <c r="F34" s="3"/>
      <c r="G34" s="43"/>
    </row>
    <row r="35" spans="1:9" x14ac:dyDescent="0.2">
      <c r="A35" s="3"/>
      <c r="B35" s="3"/>
      <c r="C35" s="3"/>
      <c r="D35" s="3"/>
      <c r="E35" s="3"/>
      <c r="F35" s="3"/>
      <c r="G35" s="43"/>
    </row>
    <row r="36" spans="1:9" x14ac:dyDescent="0.2">
      <c r="A36" s="3"/>
      <c r="B36" s="3"/>
      <c r="C36" s="3"/>
      <c r="D36" s="3"/>
      <c r="E36" s="3"/>
      <c r="F36" s="3"/>
    </row>
    <row r="37" spans="1:9" x14ac:dyDescent="0.2">
      <c r="A37" s="3"/>
      <c r="B37" s="3"/>
      <c r="C37" s="3"/>
      <c r="D37" s="3"/>
      <c r="E37" s="3"/>
      <c r="F37" s="3"/>
      <c r="G37" s="43"/>
    </row>
    <row r="38" spans="1:9" x14ac:dyDescent="0.2">
      <c r="A38" s="3"/>
      <c r="B38" s="3"/>
      <c r="C38" s="3"/>
      <c r="D38" s="3"/>
      <c r="E38" s="3"/>
      <c r="F38" s="3"/>
      <c r="G38" s="43"/>
    </row>
    <row r="39" spans="1:9" s="11" customFormat="1" x14ac:dyDescent="0.2">
      <c r="A39" s="3"/>
      <c r="B39" s="3"/>
      <c r="C39" s="3"/>
      <c r="D39" s="3"/>
      <c r="E39" s="3"/>
      <c r="F39" s="3"/>
      <c r="G39" s="44"/>
      <c r="I39"/>
    </row>
    <row r="40" spans="1:9" s="11" customFormat="1" x14ac:dyDescent="0.2">
      <c r="A40" s="3"/>
      <c r="B40" s="3"/>
      <c r="C40" s="3"/>
      <c r="D40" s="3"/>
      <c r="E40" s="3"/>
      <c r="F40" s="3"/>
      <c r="G40" s="43"/>
      <c r="I40"/>
    </row>
    <row r="41" spans="1:9" s="11" customFormat="1" x14ac:dyDescent="0.2">
      <c r="A41" s="3"/>
      <c r="B41" s="3"/>
      <c r="C41" s="3"/>
      <c r="D41" s="3"/>
      <c r="E41" s="3"/>
      <c r="F41" s="3"/>
      <c r="I41"/>
    </row>
    <row r="42" spans="1:9" s="11" customFormat="1" x14ac:dyDescent="0.2">
      <c r="A42" s="3"/>
      <c r="B42" s="3"/>
      <c r="C42" s="3"/>
      <c r="D42" s="3"/>
      <c r="E42" s="3"/>
      <c r="F42" s="3"/>
      <c r="G42" s="43"/>
      <c r="I42"/>
    </row>
    <row r="43" spans="1:9" s="11" customFormat="1" x14ac:dyDescent="0.2">
      <c r="A43" s="3"/>
      <c r="B43" s="3"/>
      <c r="C43" s="3"/>
      <c r="D43" s="3"/>
      <c r="E43" s="3"/>
      <c r="F43" s="3"/>
      <c r="G43" s="43"/>
      <c r="I43"/>
    </row>
    <row r="44" spans="1:9" s="11" customFormat="1" x14ac:dyDescent="0.2">
      <c r="A44" s="3"/>
      <c r="B44" s="3"/>
      <c r="C44" s="3"/>
      <c r="D44" s="3"/>
      <c r="E44" s="3"/>
      <c r="F44" s="3"/>
      <c r="G44" s="43"/>
      <c r="I44"/>
    </row>
    <row r="45" spans="1:9" s="11" customFormat="1" x14ac:dyDescent="0.2">
      <c r="A45" s="3"/>
      <c r="B45" s="3"/>
      <c r="C45" s="3"/>
      <c r="D45" s="3"/>
      <c r="E45" s="3"/>
      <c r="F45" s="3"/>
      <c r="G45" s="43"/>
      <c r="I45"/>
    </row>
    <row r="46" spans="1:9" s="11" customFormat="1" x14ac:dyDescent="0.2">
      <c r="A46" s="3"/>
      <c r="B46" s="3"/>
      <c r="C46" s="3"/>
      <c r="D46" s="3"/>
      <c r="E46" s="3"/>
      <c r="F46" s="3"/>
      <c r="G46" s="43"/>
      <c r="I46"/>
    </row>
    <row r="47" spans="1:9" s="11" customFormat="1" x14ac:dyDescent="0.2">
      <c r="A47" s="3"/>
      <c r="B47" s="3"/>
      <c r="C47" s="3"/>
      <c r="D47" s="3"/>
      <c r="E47" s="3"/>
      <c r="F47" s="3"/>
      <c r="G47" s="43"/>
      <c r="I47"/>
    </row>
    <row r="48" spans="1:9" s="11" customFormat="1" x14ac:dyDescent="0.2">
      <c r="A48"/>
      <c r="B48"/>
      <c r="C48"/>
      <c r="D48"/>
      <c r="E48"/>
      <c r="F48"/>
      <c r="G48" s="44"/>
      <c r="I48"/>
    </row>
    <row r="53" spans="7:7" x14ac:dyDescent="0.2">
      <c r="G53" s="43" t="s">
        <v>375</v>
      </c>
    </row>
  </sheetData>
  <mergeCells count="1">
    <mergeCell ref="E6:F6"/>
  </mergeCells>
  <conditionalFormatting sqref="B12:B14">
    <cfRule type="cellIs" dxfId="7" priority="1" stopIfTrue="1" operator="equal">
      <formula>#REF!</formula>
    </cfRule>
  </conditionalFormatting>
  <pageMargins left="0.5" right="0.5" top="0.5" bottom="0.5" header="0.5" footer="0.5"/>
  <pageSetup firstPageNumber="2" fitToHeight="0" orientation="portrait"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989541-F695-4DC6-93D8-DABF8F3566C9}">
  <sheetPr codeName="CofA6"/>
  <dimension ref="A1:I52"/>
  <sheetViews>
    <sheetView topLeftCell="A2" zoomScaleNormal="100" workbookViewId="0">
      <selection activeCell="D12" sqref="D12"/>
    </sheetView>
  </sheetViews>
  <sheetFormatPr defaultColWidth="2.7109375" defaultRowHeight="12.75" x14ac:dyDescent="0.2"/>
  <cols>
    <col min="1" max="1" width="18" customWidth="1"/>
    <col min="2" max="2" width="17.7109375" customWidth="1"/>
    <col min="3" max="3" width="14.140625" customWidth="1"/>
    <col min="4" max="4" width="15" customWidth="1"/>
    <col min="5" max="5" width="11.85546875" customWidth="1"/>
    <col min="6" max="6" width="8" customWidth="1"/>
    <col min="7" max="7" width="10.42578125" customWidth="1"/>
    <col min="8" max="8" width="12.140625" style="11" customWidth="1"/>
    <col min="9" max="9" width="10.140625" customWidth="1"/>
  </cols>
  <sheetData>
    <row r="1" spans="1:9" s="3" customFormat="1" ht="11.25" hidden="1" customHeight="1" x14ac:dyDescent="0.2">
      <c r="A1" s="3">
        <f ca="1">SheetNumber()</f>
        <v>7</v>
      </c>
      <c r="B1" s="3">
        <f ca="1">MATCH(INDEX(SampleID, A1), AnalysisSampleID, 0)</f>
        <v>9</v>
      </c>
      <c r="H1" s="10"/>
    </row>
    <row r="2" spans="1:9" s="3" customFormat="1" ht="61.5" customHeight="1" x14ac:dyDescent="0.2">
      <c r="H2" s="10"/>
    </row>
    <row r="3" spans="1:9" x14ac:dyDescent="0.2">
      <c r="A3" s="20" t="s">
        <v>4</v>
      </c>
      <c r="B3" s="22">
        <f ca="1">IF(ISERROR(INDEX(ReceivedDate,$A$1)), "", IF(ISBLANK(INDEX(ReceivedDate,$A$1)), "", INDEX(ReceivedDate,$A$1)))</f>
        <v>45569</v>
      </c>
      <c r="D3" s="20" t="s">
        <v>5</v>
      </c>
      <c r="E3" s="41" t="str">
        <f ca="1">IF(ISERROR(INDEX(Customer.Name,$A$1)), "", IF(ISBLANK(INDEX(Customer.Name,$A$1)), "", INDEX(Customer.Name,$A$1)))</f>
        <v>Big Valley</v>
      </c>
      <c r="F3" s="10"/>
      <c r="G3" s="3"/>
    </row>
    <row r="4" spans="1:9" ht="13.15" customHeight="1" x14ac:dyDescent="0.2">
      <c r="A4" s="20" t="s">
        <v>35</v>
      </c>
      <c r="B4" s="46">
        <f ca="1">IF(ISERROR(INDEX(ReceivedTime,$A$1)), "", IF(ISBLANK(INDEX(ReceivedTime,$A$1)), "", INDEX(ReceivedTime,$A$1)))</f>
        <v>0.38541666666666669</v>
      </c>
      <c r="C4" s="3"/>
      <c r="D4" s="20" t="s">
        <v>17</v>
      </c>
      <c r="E4" s="41" t="str">
        <f ca="1">IF(ISERROR(INDEX(Project.Name,$A$1)), "", IF(ISBLANK(INDEX(Project.Name,$A$1)), "", INDEX(Project.Name,$A$1)))</f>
        <v>HABs</v>
      </c>
    </row>
    <row r="5" spans="1:9" ht="12.75" customHeight="1" x14ac:dyDescent="0.2">
      <c r="A5" s="20" t="s">
        <v>36</v>
      </c>
      <c r="B5" s="22" t="str">
        <f ca="1">IF(ISERROR(INDEX(SampleType.Name,$A$1)), "", IF(ISBLANK(INDEX(SampleType.Name,$A$1)), "", INDEX(SampleType.Name,$A$1)))</f>
        <v>Water Grab</v>
      </c>
      <c r="C5" s="19"/>
      <c r="D5" s="20" t="s">
        <v>25</v>
      </c>
      <c r="E5" s="3" t="str">
        <f ca="1">IF(ISERROR(INDEX(Location.Name,$A$1)), "", IF(ISBLANK(INDEX(Location.Name,$A$1)), "", INDEX(Location.Name,$A$1)))</f>
        <v>AP01</v>
      </c>
      <c r="F5" s="10"/>
      <c r="G5" s="3"/>
    </row>
    <row r="6" spans="1:9" ht="12.75" customHeight="1" x14ac:dyDescent="0.2">
      <c r="A6" s="20" t="s">
        <v>16</v>
      </c>
      <c r="B6" s="10" t="str">
        <f ca="1">IF(ISERROR(INDEX(Description,$A$1)), "", IF(ISBLANK(INDEX(Description,$A$1)), "", INDEX(Description,$A$1)))</f>
        <v>BV1312</v>
      </c>
      <c r="C6" s="46"/>
      <c r="D6" s="20" t="s">
        <v>9</v>
      </c>
      <c r="E6" s="65">
        <f ca="1">IF(ISERROR(INDEX(CollectedDateTime,$A$1)), "", IF(ISBLANK(INDEX(CollectedDateTime,$A$1)), "", INDEX(CollectedDateTime,$A$1)))</f>
        <v>45567.537499999999</v>
      </c>
      <c r="F6" s="65"/>
      <c r="G6" s="3"/>
    </row>
    <row r="7" spans="1:9" ht="12.75" customHeight="1" x14ac:dyDescent="0.2">
      <c r="A7" s="20" t="s">
        <v>24</v>
      </c>
      <c r="B7" s="21">
        <f ca="1">NOW()</f>
        <v>45580.517125694445</v>
      </c>
      <c r="C7" s="3"/>
      <c r="D7" s="11"/>
    </row>
    <row r="8" spans="1:9" ht="12.75" customHeight="1" x14ac:dyDescent="0.2">
      <c r="C8" s="3"/>
      <c r="D8" s="20" t="s">
        <v>13</v>
      </c>
      <c r="E8" s="10" t="str">
        <f ca="1">IF(ISERROR(INDEX(CustomerSampleID,$A$1)), "", IF(ISBLANK(INDEX(CustomerSampleID,$A$1)), "", INDEX(CustomerSampleID,$A$1)))</f>
        <v>2833</v>
      </c>
    </row>
    <row r="9" spans="1:9" ht="12.75" customHeight="1" x14ac:dyDescent="0.2">
      <c r="C9" s="3"/>
      <c r="F9" s="18"/>
      <c r="G9" s="23"/>
      <c r="H9" s="10"/>
    </row>
    <row r="10" spans="1:9" x14ac:dyDescent="0.2">
      <c r="A10" s="33" t="s">
        <v>33</v>
      </c>
      <c r="B10" s="3"/>
      <c r="C10" s="3"/>
      <c r="D10" s="3"/>
      <c r="F10" s="3"/>
      <c r="G10" s="3"/>
      <c r="H10" s="10"/>
    </row>
    <row r="11" spans="1:9" s="7" customFormat="1" ht="15.75" customHeight="1" x14ac:dyDescent="0.2">
      <c r="A11" s="50" t="s">
        <v>8</v>
      </c>
      <c r="B11" s="26" t="s">
        <v>14</v>
      </c>
      <c r="C11" s="26" t="s">
        <v>6</v>
      </c>
      <c r="D11" s="32" t="s">
        <v>39</v>
      </c>
      <c r="E11" s="26" t="s">
        <v>7</v>
      </c>
      <c r="F11" s="26" t="s">
        <v>31</v>
      </c>
      <c r="G11" s="58" t="s">
        <v>27</v>
      </c>
      <c r="I11" s="9"/>
    </row>
    <row r="12" spans="1:9" s="3" customFormat="1" ht="19.899999999999999" customHeight="1" x14ac:dyDescent="0.2">
      <c r="A12" s="17" t="str">
        <f ca="1">IF(ISBLANK(INDEX(Method.Name, ROW() - ROW(OneAnalysisResults) + $B$1)), "",INDEX(Method.Name, ROW() - ROW(OneAnalysisResults) + $B$1))</f>
        <v>ELISA</v>
      </c>
      <c r="B12" s="17" t="str">
        <f ca="1">IF(ISBLANK(INDEX(AnalyteReportName, ROW() - ROW(OneAnalysisResults) + $B$1)), "",INDEX(AnalyteReportName, ROW() - ROW(OneAnalysisResults) + $B$1))</f>
        <v>Microcystin/Nod.</v>
      </c>
      <c r="C12" s="17" t="str">
        <f ca="1">IF(ISBLANK(INDEX(AnalysisResultFormatted, ROW() - ROW(OneAnalysisResults) + $B$1)), "",INDEX(AnalysisResultFormatted, ROW() - ROW(OneAnalysisResults) + $B$1))</f>
        <v>3.18</v>
      </c>
      <c r="D12" s="17">
        <f ca="1">IF(ISBLANK(INDEX(DilutionFactor, ROW() - ROW(OneAnalysisResults) + $B$1)), "",INDEX(DilutionFactor, ROW() - ROW(OneAnalysisResults) + $B$1))</f>
        <v>0.15</v>
      </c>
      <c r="E12" s="17" t="str">
        <f ca="1">IF(ISBLANK(INDEX(Abbreviation, ROW() - ROW(OneAnalysisResults) + $B$1)), "",INDEX(Abbreviation, ROW() - ROW(OneAnalysisResults) + $B$1))</f>
        <v>μg/L</v>
      </c>
      <c r="F12" s="17"/>
      <c r="G12" s="17">
        <v>1</v>
      </c>
    </row>
    <row r="13" spans="1:9" s="3" customFormat="1" ht="19.899999999999999" customHeight="1" x14ac:dyDescent="0.2">
      <c r="A13" s="17" t="str">
        <f ca="1">IF(ISBLANK(INDEX(Method.Name, ROW() - ROW(OneAnalysisResults) + $B$1)), "",INDEX(Method.Name, ROW() - ROW(OneAnalysisResults) + $B$1))</f>
        <v>QPCR</v>
      </c>
      <c r="B13" s="17" t="str">
        <f ca="1">IF(ISBLANK(INDEX(AnalyteReportName, ROW() - ROW(OneAnalysisResults) + $B$1)), "",INDEX(AnalyteReportName, ROW() - ROW(OneAnalysisResults) + $B$1))</f>
        <v>Anatoxin-a</v>
      </c>
      <c r="C13" s="17" t="str">
        <f ca="1">IF(ISBLANK(INDEX(AnalysisResultFormatted, ROW() - ROW(OneAnalysisResults) + $B$1)), "",INDEX(AnalysisResultFormatted, ROW() - ROW(OneAnalysisResults) + $B$1))</f>
        <v>ND</v>
      </c>
      <c r="D13" s="17">
        <f ca="1">IF(ISBLANK(INDEX(DilutionFactor, ROW() - ROW(OneAnalysisResults) + $B$1)), "",INDEX(DilutionFactor, ROW() - ROW(OneAnalysisResults) + $B$1))</f>
        <v>100</v>
      </c>
      <c r="E13" s="17" t="str">
        <f ca="1">IF(ISBLANK(INDEX(Abbreviation, ROW() - ROW(OneAnalysisResults) + $B$1)), "",INDEX(Abbreviation, ROW() - ROW(OneAnalysisResults) + $B$1))</f>
        <v>copies/mL</v>
      </c>
      <c r="F13" s="17" t="s">
        <v>22</v>
      </c>
      <c r="G13" s="17"/>
    </row>
    <row r="14" spans="1:9" s="3" customFormat="1" ht="19.899999999999999" customHeight="1" x14ac:dyDescent="0.2">
      <c r="A14" s="17" t="str">
        <f ca="1">IF(ISBLANK(INDEX(Method.Name, ROW() - ROW(OneAnalysisResults) + $B$1)), "",INDEX(Method.Name, ROW() - ROW(OneAnalysisResults) + $B$1))</f>
        <v>QPCR</v>
      </c>
      <c r="B14" s="17" t="str">
        <f ca="1">IF(ISBLANK(INDEX(AnalyteReportName, ROW() - ROW(OneAnalysisResults) + $B$1)), "",INDEX(AnalyteReportName, ROW() - ROW(OneAnalysisResults) + $B$1))</f>
        <v>Cylindrospermopsin</v>
      </c>
      <c r="C14" s="17" t="str">
        <f ca="1">IF(ISBLANK(INDEX(AnalysisResultFormatted, ROW() - ROW(OneAnalysisResults) + $B$1)), "",INDEX(AnalysisResultFormatted, ROW() - ROW(OneAnalysisResults) + $B$1))</f>
        <v>ND</v>
      </c>
      <c r="D14" s="17">
        <f ca="1">IF(ISBLANK(INDEX(DilutionFactor, ROW() - ROW(OneAnalysisResults) + $B$1)), "",INDEX(DilutionFactor, ROW() - ROW(OneAnalysisResults) + $B$1))</f>
        <v>100</v>
      </c>
      <c r="E14" s="17" t="str">
        <f ca="1">IF(ISBLANK(INDEX(Abbreviation, ROW() - ROW(OneAnalysisResults) + $B$1)), "",INDEX(Abbreviation, ROW() - ROW(OneAnalysisResults) + $B$1))</f>
        <v>copies/mL</v>
      </c>
      <c r="F14" s="17" t="s">
        <v>22</v>
      </c>
      <c r="G14" s="17"/>
    </row>
    <row r="15" spans="1:9" s="3" customFormat="1" ht="19.899999999999999" customHeight="1" x14ac:dyDescent="0.2">
      <c r="A15" s="17" t="str">
        <f ca="1">IF(ISBLANK(INDEX(Method.Name, ROW() - ROW(OneAnalysisResults) + $B$1)), "",INDEX(Method.Name, ROW() - ROW(OneAnalysisResults) + $B$1))</f>
        <v>QPCR</v>
      </c>
      <c r="B15" s="17" t="str">
        <f ca="1">IF(ISBLANK(INDEX(AnalyteReportName, ROW() - ROW(OneAnalysisResults) + $B$1)), "",INDEX(AnalyteReportName, ROW() - ROW(OneAnalysisResults) + $B$1))</f>
        <v>Saxitoxin</v>
      </c>
      <c r="C15" s="17" t="str">
        <f ca="1">IF(ISBLANK(INDEX(AnalysisResultFormatted, ROW() - ROW(OneAnalysisResults) + $B$1)), "",INDEX(AnalysisResultFormatted, ROW() - ROW(OneAnalysisResults) + $B$1))</f>
        <v>ND</v>
      </c>
      <c r="D15" s="17">
        <f ca="1">IF(ISBLANK(INDEX(DilutionFactor, ROW() - ROW(OneAnalysisResults) + $B$1)), "",INDEX(DilutionFactor, ROW() - ROW(OneAnalysisResults) + $B$1))</f>
        <v>100</v>
      </c>
      <c r="E15" s="17" t="str">
        <f ca="1">IF(ISBLANK(INDEX(Abbreviation, ROW() - ROW(OneAnalysisResults) + $B$1)), "",INDEX(Abbreviation, ROW() - ROW(OneAnalysisResults) + $B$1))</f>
        <v>copies/mL</v>
      </c>
      <c r="F15" s="17" t="s">
        <v>22</v>
      </c>
      <c r="G15" s="17"/>
    </row>
    <row r="16" spans="1:9" s="3" customFormat="1" ht="19.899999999999999" customHeight="1" x14ac:dyDescent="0.2">
      <c r="A16" s="17"/>
      <c r="B16" s="17"/>
      <c r="C16" s="17"/>
      <c r="D16" s="17"/>
      <c r="E16" s="17"/>
      <c r="F16" s="17"/>
      <c r="G16" s="17"/>
    </row>
    <row r="17" spans="1:9" ht="12" customHeight="1" x14ac:dyDescent="0.2">
      <c r="B17" s="3"/>
      <c r="C17" s="3"/>
      <c r="E17" s="3"/>
      <c r="F17" s="45"/>
      <c r="G17" s="17"/>
      <c r="H17" s="10"/>
    </row>
    <row r="18" spans="1:9" x14ac:dyDescent="0.2">
      <c r="A18" s="3"/>
      <c r="C18" s="3"/>
      <c r="D18" s="3"/>
      <c r="E18" s="3"/>
      <c r="F18" s="17"/>
      <c r="G18" s="17"/>
      <c r="H18" s="10"/>
    </row>
    <row r="19" spans="1:9" x14ac:dyDescent="0.2">
      <c r="A19" s="3"/>
      <c r="B19" s="3"/>
      <c r="C19" s="3"/>
      <c r="D19" s="3"/>
      <c r="E19" s="3"/>
      <c r="F19" s="3"/>
      <c r="G19" s="17"/>
      <c r="H19" s="10"/>
    </row>
    <row r="20" spans="1:9" x14ac:dyDescent="0.2">
      <c r="A20" s="3"/>
      <c r="B20" s="3"/>
      <c r="C20" s="3"/>
      <c r="D20" s="3"/>
      <c r="E20" s="3"/>
      <c r="F20" s="3"/>
      <c r="G20" s="17"/>
      <c r="H20" s="10"/>
    </row>
    <row r="21" spans="1:9" x14ac:dyDescent="0.2">
      <c r="A21" s="24"/>
      <c r="B21" s="24"/>
      <c r="C21" s="24"/>
      <c r="D21" s="3"/>
      <c r="E21" s="18"/>
      <c r="F21" s="18"/>
      <c r="G21" s="18"/>
      <c r="H21" s="3"/>
      <c r="I21" s="11"/>
    </row>
    <row r="22" spans="1:9" x14ac:dyDescent="0.2">
      <c r="A22" s="24"/>
      <c r="B22" s="24"/>
      <c r="C22" s="24"/>
      <c r="D22" s="3"/>
      <c r="E22" s="3"/>
      <c r="F22" s="3"/>
      <c r="G22" s="3"/>
      <c r="H22" s="10"/>
    </row>
    <row r="23" spans="1:9" x14ac:dyDescent="0.2">
      <c r="A23" s="3"/>
      <c r="B23" s="3"/>
      <c r="C23" s="3"/>
      <c r="D23" s="3"/>
      <c r="E23" s="3"/>
      <c r="F23" s="3"/>
      <c r="G23" s="3"/>
      <c r="H23" s="10"/>
    </row>
    <row r="24" spans="1:9" x14ac:dyDescent="0.2">
      <c r="A24" s="3"/>
      <c r="B24" s="3"/>
      <c r="C24" s="3"/>
      <c r="D24" s="3"/>
      <c r="E24" s="3"/>
      <c r="F24" s="3"/>
      <c r="G24" s="3"/>
      <c r="H24" s="10"/>
    </row>
    <row r="25" spans="1:9" x14ac:dyDescent="0.2">
      <c r="A25" s="3"/>
      <c r="B25" s="3"/>
      <c r="C25" s="3"/>
      <c r="D25" s="3"/>
      <c r="E25" s="3"/>
      <c r="F25" s="3"/>
      <c r="G25" s="3"/>
      <c r="H25" s="10"/>
    </row>
    <row r="26" spans="1:9" x14ac:dyDescent="0.2">
      <c r="A26" s="3"/>
      <c r="B26" s="3"/>
      <c r="C26" s="3"/>
      <c r="D26" s="3"/>
      <c r="E26" s="3"/>
      <c r="F26" s="3"/>
      <c r="G26" s="3"/>
      <c r="H26" s="10"/>
    </row>
    <row r="27" spans="1:9" x14ac:dyDescent="0.2">
      <c r="A27" s="3"/>
      <c r="B27" s="3"/>
      <c r="C27" s="3"/>
      <c r="D27" s="3"/>
      <c r="E27" s="3"/>
      <c r="F27" s="3"/>
      <c r="G27" s="3"/>
      <c r="H27" s="10"/>
    </row>
    <row r="28" spans="1:9" x14ac:dyDescent="0.2">
      <c r="A28" s="3"/>
      <c r="B28" s="3"/>
      <c r="C28" s="3"/>
      <c r="D28" s="3"/>
      <c r="E28" s="3"/>
      <c r="F28" s="3"/>
      <c r="G28" s="3"/>
      <c r="H28" s="10"/>
    </row>
    <row r="29" spans="1:9" x14ac:dyDescent="0.2">
      <c r="A29" s="3"/>
      <c r="B29" s="3"/>
      <c r="C29" s="3"/>
      <c r="D29" s="3"/>
      <c r="E29" s="3"/>
      <c r="F29" s="3"/>
      <c r="G29" s="3"/>
    </row>
    <row r="30" spans="1:9" x14ac:dyDescent="0.2">
      <c r="A30" s="3"/>
      <c r="B30" s="3"/>
      <c r="C30" s="3"/>
      <c r="D30" s="3"/>
      <c r="E30" s="3"/>
      <c r="F30" s="3"/>
      <c r="G30" s="3"/>
    </row>
    <row r="31" spans="1:9" x14ac:dyDescent="0.2">
      <c r="A31" s="3"/>
      <c r="B31" s="3"/>
      <c r="C31" s="3"/>
      <c r="D31" s="3"/>
      <c r="E31" s="3"/>
      <c r="F31" s="3"/>
      <c r="G31" s="3"/>
    </row>
    <row r="32" spans="1:9" x14ac:dyDescent="0.2">
      <c r="A32" s="3"/>
      <c r="B32" s="3"/>
      <c r="C32" s="3"/>
      <c r="D32" s="3"/>
      <c r="E32" s="3"/>
      <c r="F32" s="3"/>
      <c r="G32" s="3"/>
    </row>
    <row r="33" spans="1:9" x14ac:dyDescent="0.2">
      <c r="A33" s="3"/>
      <c r="B33" s="3"/>
      <c r="C33" s="3"/>
      <c r="D33" s="3"/>
      <c r="E33" s="3"/>
      <c r="F33" s="3"/>
      <c r="G33" s="43"/>
    </row>
    <row r="34" spans="1:9" x14ac:dyDescent="0.2">
      <c r="A34" s="3"/>
      <c r="B34" s="3"/>
      <c r="C34" s="3"/>
      <c r="D34" s="3"/>
      <c r="E34" s="3"/>
      <c r="F34" s="3"/>
      <c r="G34" s="43"/>
    </row>
    <row r="35" spans="1:9" x14ac:dyDescent="0.2">
      <c r="A35" s="3"/>
      <c r="B35" s="3"/>
      <c r="C35" s="3"/>
      <c r="D35" s="3"/>
      <c r="E35" s="3"/>
      <c r="F35" s="3"/>
      <c r="G35" s="43"/>
    </row>
    <row r="36" spans="1:9" x14ac:dyDescent="0.2">
      <c r="A36" s="3"/>
      <c r="B36" s="3"/>
      <c r="C36" s="3"/>
      <c r="D36" s="3"/>
      <c r="E36" s="3"/>
      <c r="F36" s="3"/>
      <c r="G36" s="43"/>
    </row>
    <row r="37" spans="1:9" x14ac:dyDescent="0.2">
      <c r="A37" s="3"/>
      <c r="B37" s="3"/>
      <c r="C37" s="3"/>
      <c r="D37" s="3"/>
      <c r="E37" s="3"/>
      <c r="F37" s="3"/>
    </row>
    <row r="38" spans="1:9" x14ac:dyDescent="0.2">
      <c r="A38" s="3"/>
      <c r="B38" s="3"/>
      <c r="C38" s="3"/>
      <c r="D38" s="3"/>
      <c r="E38" s="3"/>
      <c r="F38" s="3"/>
      <c r="G38" s="43"/>
    </row>
    <row r="39" spans="1:9" x14ac:dyDescent="0.2">
      <c r="A39" s="3"/>
      <c r="B39" s="3"/>
      <c r="C39" s="3"/>
      <c r="D39" s="3"/>
      <c r="E39" s="3"/>
      <c r="F39" s="3"/>
      <c r="G39" s="43"/>
    </row>
    <row r="40" spans="1:9" s="11" customFormat="1" x14ac:dyDescent="0.2">
      <c r="A40" s="3"/>
      <c r="B40" s="3"/>
      <c r="C40" s="3"/>
      <c r="D40" s="3"/>
      <c r="E40" s="3"/>
      <c r="F40" s="3"/>
      <c r="G40" s="44"/>
      <c r="I40"/>
    </row>
    <row r="41" spans="1:9" s="11" customFormat="1" x14ac:dyDescent="0.2">
      <c r="A41" s="3"/>
      <c r="B41" s="3"/>
      <c r="C41" s="3"/>
      <c r="D41" s="3"/>
      <c r="E41" s="3"/>
      <c r="F41" s="3"/>
      <c r="G41" s="43"/>
      <c r="I41"/>
    </row>
    <row r="42" spans="1:9" s="11" customFormat="1" x14ac:dyDescent="0.2">
      <c r="A42" s="3"/>
      <c r="B42" s="3"/>
      <c r="C42" s="3"/>
      <c r="D42" s="3"/>
      <c r="E42" s="3"/>
      <c r="F42" s="3"/>
      <c r="I42"/>
    </row>
    <row r="43" spans="1:9" s="11" customFormat="1" x14ac:dyDescent="0.2">
      <c r="A43" s="3"/>
      <c r="B43" s="3"/>
      <c r="C43" s="3"/>
      <c r="D43" s="3"/>
      <c r="E43" s="3"/>
      <c r="F43" s="3"/>
      <c r="G43" s="43"/>
      <c r="I43"/>
    </row>
    <row r="44" spans="1:9" s="11" customFormat="1" x14ac:dyDescent="0.2">
      <c r="A44" s="3"/>
      <c r="B44" s="3"/>
      <c r="C44" s="3"/>
      <c r="D44" s="3"/>
      <c r="E44" s="3"/>
      <c r="F44" s="3"/>
      <c r="G44" s="43"/>
      <c r="I44"/>
    </row>
    <row r="45" spans="1:9" s="11" customFormat="1" x14ac:dyDescent="0.2">
      <c r="A45" s="3"/>
      <c r="B45" s="3"/>
      <c r="C45" s="3"/>
      <c r="D45" s="3"/>
      <c r="E45" s="3"/>
      <c r="F45" s="3"/>
      <c r="G45" s="43"/>
      <c r="I45"/>
    </row>
    <row r="46" spans="1:9" s="11" customFormat="1" x14ac:dyDescent="0.2">
      <c r="A46" s="3"/>
      <c r="B46" s="3"/>
      <c r="C46" s="3"/>
      <c r="D46" s="3"/>
      <c r="E46" s="3"/>
      <c r="F46" s="3"/>
      <c r="G46" s="43"/>
      <c r="I46"/>
    </row>
    <row r="47" spans="1:9" s="11" customFormat="1" x14ac:dyDescent="0.2">
      <c r="A47" s="3"/>
      <c r="B47" s="3"/>
      <c r="C47" s="3"/>
      <c r="D47" s="3"/>
      <c r="E47" s="3"/>
      <c r="F47" s="3"/>
      <c r="G47" s="43"/>
      <c r="I47"/>
    </row>
    <row r="48" spans="1:9" s="11" customFormat="1" x14ac:dyDescent="0.2">
      <c r="A48" s="3"/>
      <c r="B48" s="3"/>
      <c r="C48" s="3"/>
      <c r="D48" s="3"/>
      <c r="E48" s="3"/>
      <c r="F48" s="3"/>
      <c r="G48" s="43"/>
      <c r="I48"/>
    </row>
    <row r="49" spans="1:9" s="11" customFormat="1" x14ac:dyDescent="0.2">
      <c r="A49"/>
      <c r="B49"/>
      <c r="C49"/>
      <c r="D49"/>
      <c r="E49"/>
      <c r="F49"/>
      <c r="G49" s="44"/>
      <c r="I49"/>
    </row>
    <row r="52" spans="1:9" x14ac:dyDescent="0.2">
      <c r="G52" s="43" t="s">
        <v>376</v>
      </c>
    </row>
  </sheetData>
  <mergeCells count="1">
    <mergeCell ref="E6:F6"/>
  </mergeCells>
  <conditionalFormatting sqref="B12:B16">
    <cfRule type="cellIs" dxfId="6" priority="1" stopIfTrue="1" operator="equal">
      <formula>#REF!</formula>
    </cfRule>
  </conditionalFormatting>
  <pageMargins left="0.5" right="0.5" top="0.5" bottom="0.5" header="0.5" footer="0.5"/>
  <pageSetup firstPageNumber="2" fitToHeight="0" orientation="portrait"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D9ACC-B0D3-481A-B171-3BC38AF75049}">
  <sheetPr codeName="CofA7"/>
  <dimension ref="A1:I53"/>
  <sheetViews>
    <sheetView topLeftCell="A2" zoomScaleNormal="100" workbookViewId="0">
      <selection activeCell="G53" sqref="G53"/>
    </sheetView>
  </sheetViews>
  <sheetFormatPr defaultColWidth="2.7109375" defaultRowHeight="12.75" x14ac:dyDescent="0.2"/>
  <cols>
    <col min="1" max="1" width="18" customWidth="1"/>
    <col min="2" max="2" width="17.7109375" customWidth="1"/>
    <col min="3" max="3" width="14.140625" customWidth="1"/>
    <col min="4" max="4" width="15" customWidth="1"/>
    <col min="5" max="5" width="11.85546875" customWidth="1"/>
    <col min="6" max="6" width="8" customWidth="1"/>
    <col min="7" max="7" width="10.42578125" customWidth="1"/>
    <col min="8" max="8" width="12.140625" style="11" customWidth="1"/>
    <col min="9" max="9" width="10.140625" customWidth="1"/>
  </cols>
  <sheetData>
    <row r="1" spans="1:9" s="3" customFormat="1" ht="11.25" hidden="1" customHeight="1" x14ac:dyDescent="0.2">
      <c r="A1" s="3">
        <f ca="1">SheetNumber()</f>
        <v>8</v>
      </c>
      <c r="B1" s="3">
        <f ca="1">MATCH(INDEX(SampleID, A1), AnalysisSampleID, 0)</f>
        <v>13</v>
      </c>
      <c r="H1" s="10"/>
    </row>
    <row r="2" spans="1:9" s="3" customFormat="1" ht="61.5" customHeight="1" x14ac:dyDescent="0.2">
      <c r="H2" s="10"/>
    </row>
    <row r="3" spans="1:9" x14ac:dyDescent="0.2">
      <c r="A3" s="20" t="s">
        <v>4</v>
      </c>
      <c r="B3" s="22">
        <f ca="1">IF(ISERROR(INDEX(ReceivedDate,$A$1)), "", IF(ISBLANK(INDEX(ReceivedDate,$A$1)), "", INDEX(ReceivedDate,$A$1)))</f>
        <v>45569</v>
      </c>
      <c r="D3" s="20" t="s">
        <v>5</v>
      </c>
      <c r="E3" s="41" t="str">
        <f ca="1">IF(ISERROR(INDEX(Customer.Name,$A$1)), "", IF(ISBLANK(INDEX(Customer.Name,$A$1)), "", INDEX(Customer.Name,$A$1)))</f>
        <v>Big Valley</v>
      </c>
      <c r="F3" s="10"/>
      <c r="G3" s="3"/>
    </row>
    <row r="4" spans="1:9" ht="13.15" customHeight="1" x14ac:dyDescent="0.2">
      <c r="A4" s="20" t="s">
        <v>35</v>
      </c>
      <c r="B4" s="46">
        <f ca="1">IF(ISERROR(INDEX(ReceivedTime,$A$1)), "", IF(ISBLANK(INDEX(ReceivedTime,$A$1)), "", INDEX(ReceivedTime,$A$1)))</f>
        <v>0.38541666666666669</v>
      </c>
      <c r="C4" s="3"/>
      <c r="D4" s="20" t="s">
        <v>17</v>
      </c>
      <c r="E4" s="41" t="str">
        <f ca="1">IF(ISERROR(INDEX(Project.Name,$A$1)), "", IF(ISBLANK(INDEX(Project.Name,$A$1)), "", INDEX(Project.Name,$A$1)))</f>
        <v>HABs</v>
      </c>
    </row>
    <row r="5" spans="1:9" ht="12.75" customHeight="1" x14ac:dyDescent="0.2">
      <c r="A5" s="20" t="s">
        <v>36</v>
      </c>
      <c r="B5" s="22" t="str">
        <f ca="1">IF(ISERROR(INDEX(SampleType.Name,$A$1)), "", IF(ISBLANK(INDEX(SampleType.Name,$A$1)), "", INDEX(SampleType.Name,$A$1)))</f>
        <v>Water Grab</v>
      </c>
      <c r="C5" s="19"/>
      <c r="D5" s="20" t="s">
        <v>25</v>
      </c>
      <c r="E5" s="3" t="str">
        <f ca="1">IF(ISERROR(INDEX(Location.Name,$A$1)), "", IF(ISBLANK(INDEX(Location.Name,$A$1)), "", INDEX(Location.Name,$A$1)))</f>
        <v>LC01</v>
      </c>
      <c r="F5" s="10"/>
      <c r="G5" s="3"/>
    </row>
    <row r="6" spans="1:9" ht="12.75" customHeight="1" x14ac:dyDescent="0.2">
      <c r="A6" s="20" t="s">
        <v>16</v>
      </c>
      <c r="B6" s="10" t="str">
        <f ca="1">IF(ISERROR(INDEX(Description,$A$1)), "", IF(ISBLANK(INDEX(Description,$A$1)), "", INDEX(Description,$A$1)))</f>
        <v>BV1313</v>
      </c>
      <c r="C6" s="46"/>
      <c r="D6" s="20" t="s">
        <v>9</v>
      </c>
      <c r="E6" s="65">
        <f ca="1">IF(ISERROR(INDEX(CollectedDateTime,$A$1)), "", IF(ISBLANK(INDEX(CollectedDateTime,$A$1)), "", INDEX(CollectedDateTime,$A$1)))</f>
        <v>45567.550694444442</v>
      </c>
      <c r="F6" s="65"/>
      <c r="G6" s="3"/>
    </row>
    <row r="7" spans="1:9" ht="12.75" customHeight="1" x14ac:dyDescent="0.2">
      <c r="A7" s="20" t="s">
        <v>24</v>
      </c>
      <c r="B7" s="21">
        <f ca="1">NOW()</f>
        <v>45580.517125694445</v>
      </c>
      <c r="C7" s="3"/>
      <c r="D7" s="11"/>
    </row>
    <row r="8" spans="1:9" ht="12.75" customHeight="1" x14ac:dyDescent="0.2">
      <c r="C8" s="3"/>
      <c r="D8" s="20" t="s">
        <v>13</v>
      </c>
      <c r="E8" s="10" t="str">
        <f ca="1">IF(ISERROR(INDEX(CustomerSampleID,$A$1)), "", IF(ISBLANK(INDEX(CustomerSampleID,$A$1)), "", INDEX(CustomerSampleID,$A$1)))</f>
        <v>2834</v>
      </c>
    </row>
    <row r="9" spans="1:9" ht="12.75" customHeight="1" x14ac:dyDescent="0.2">
      <c r="C9" s="3"/>
      <c r="F9" s="18"/>
      <c r="G9" s="23"/>
      <c r="H9" s="10"/>
    </row>
    <row r="10" spans="1:9" x14ac:dyDescent="0.2">
      <c r="A10" s="33" t="s">
        <v>33</v>
      </c>
      <c r="B10" s="3"/>
      <c r="C10" s="3"/>
      <c r="D10" s="3"/>
      <c r="F10" s="3"/>
      <c r="G10" s="3"/>
      <c r="H10" s="10"/>
    </row>
    <row r="11" spans="1:9" s="7" customFormat="1" ht="15.75" customHeight="1" x14ac:dyDescent="0.2">
      <c r="A11" s="50" t="s">
        <v>8</v>
      </c>
      <c r="B11" s="26" t="s">
        <v>14</v>
      </c>
      <c r="C11" s="26" t="s">
        <v>6</v>
      </c>
      <c r="D11" s="32" t="s">
        <v>39</v>
      </c>
      <c r="E11" s="26" t="s">
        <v>7</v>
      </c>
      <c r="F11" s="26" t="s">
        <v>31</v>
      </c>
      <c r="G11" s="58" t="s">
        <v>27</v>
      </c>
      <c r="I11" s="9"/>
    </row>
    <row r="12" spans="1:9" s="3" customFormat="1" ht="19.899999999999999" customHeight="1" x14ac:dyDescent="0.2">
      <c r="A12" s="17" t="str">
        <f ca="1">IF(ISBLANK(INDEX(Method.Name, ROW() - ROW(OneAnalysisResults) + $B$1)), "",INDEX(Method.Name, ROW() - ROW(OneAnalysisResults) + $B$1))</f>
        <v>ELISA</v>
      </c>
      <c r="B12" s="17" t="str">
        <f ca="1">IF(ISBLANK(INDEX(AnalyteReportName, ROW() - ROW(OneAnalysisResults) + $B$1)), "",INDEX(AnalyteReportName, ROW() - ROW(OneAnalysisResults) + $B$1))</f>
        <v>Microcystin/Nod.</v>
      </c>
      <c r="C12" s="17" t="str">
        <f ca="1">IF(ISBLANK(INDEX(AnalysisResultFormatted, ROW() - ROW(OneAnalysisResults) + $B$1)), "",INDEX(AnalysisResultFormatted, ROW() - ROW(OneAnalysisResults) + $B$1))</f>
        <v>2.31</v>
      </c>
      <c r="D12" s="17">
        <f ca="1">IF(ISBLANK(INDEX(DilutionFactor, ROW() - ROW(OneAnalysisResults) + $B$1)), "",INDEX(DilutionFactor, ROW() - ROW(OneAnalysisResults) + $B$1))</f>
        <v>0.15</v>
      </c>
      <c r="E12" s="17" t="str">
        <f ca="1">IF(ISBLANK(INDEX(Abbreviation, ROW() - ROW(OneAnalysisResults) + $B$1)), "",INDEX(Abbreviation, ROW() - ROW(OneAnalysisResults) + $B$1))</f>
        <v>μg/L</v>
      </c>
      <c r="F12" s="17"/>
      <c r="G12" s="17">
        <v>1</v>
      </c>
    </row>
    <row r="13" spans="1:9" s="3" customFormat="1" ht="19.899999999999999" customHeight="1" x14ac:dyDescent="0.2">
      <c r="A13" s="17"/>
      <c r="B13" s="17"/>
      <c r="C13" s="17"/>
      <c r="D13" s="17"/>
      <c r="E13" s="17"/>
      <c r="F13" s="17"/>
      <c r="G13" s="17"/>
    </row>
    <row r="14" spans="1:9" ht="12" customHeight="1" x14ac:dyDescent="0.2">
      <c r="B14" s="3"/>
      <c r="C14" s="3"/>
      <c r="E14" s="3"/>
      <c r="F14" s="45"/>
      <c r="G14" s="17"/>
      <c r="H14" s="10"/>
    </row>
    <row r="15" spans="1:9" x14ac:dyDescent="0.2">
      <c r="A15" s="3"/>
      <c r="C15" s="3"/>
      <c r="D15" s="3"/>
      <c r="E15" s="3"/>
      <c r="F15" s="17"/>
      <c r="G15" s="17"/>
      <c r="H15" s="10"/>
    </row>
    <row r="16" spans="1:9" x14ac:dyDescent="0.2">
      <c r="A16" s="3"/>
      <c r="B16" s="3"/>
      <c r="C16" s="3"/>
      <c r="D16" s="3"/>
      <c r="E16" s="3"/>
      <c r="F16" s="3"/>
      <c r="G16" s="17"/>
      <c r="H16" s="10"/>
    </row>
    <row r="17" spans="1:9" x14ac:dyDescent="0.2">
      <c r="A17" s="3"/>
      <c r="B17" s="3"/>
      <c r="C17" s="3"/>
      <c r="D17" s="3"/>
      <c r="E17" s="3"/>
      <c r="F17" s="3"/>
      <c r="G17" s="17"/>
      <c r="H17" s="10"/>
    </row>
    <row r="18" spans="1:9" x14ac:dyDescent="0.2">
      <c r="A18" s="24"/>
      <c r="B18" s="24"/>
      <c r="C18" s="24"/>
      <c r="D18" s="3"/>
      <c r="E18" s="18"/>
      <c r="F18" s="18"/>
      <c r="G18" s="18"/>
      <c r="H18" s="3"/>
      <c r="I18" s="11"/>
    </row>
    <row r="19" spans="1:9" x14ac:dyDescent="0.2">
      <c r="A19" s="24"/>
      <c r="B19" s="24"/>
      <c r="C19" s="24"/>
      <c r="D19" s="3"/>
      <c r="E19" s="18"/>
      <c r="F19" s="18"/>
      <c r="G19" s="18"/>
      <c r="H19" s="3"/>
      <c r="I19" s="11"/>
    </row>
    <row r="20" spans="1:9" x14ac:dyDescent="0.2">
      <c r="A20" s="24"/>
      <c r="B20" s="24"/>
      <c r="C20" s="24"/>
      <c r="D20" s="3"/>
      <c r="E20" s="3"/>
      <c r="F20" s="3"/>
      <c r="G20" s="3"/>
      <c r="H20" s="10"/>
    </row>
    <row r="21" spans="1:9" x14ac:dyDescent="0.2">
      <c r="A21" s="3"/>
      <c r="B21" s="3"/>
      <c r="C21" s="3"/>
      <c r="D21" s="3"/>
      <c r="E21" s="3"/>
      <c r="F21" s="3"/>
      <c r="G21" s="3"/>
      <c r="H21" s="10"/>
    </row>
    <row r="22" spans="1:9" x14ac:dyDescent="0.2">
      <c r="A22" s="3"/>
      <c r="B22" s="3"/>
      <c r="C22" s="3"/>
      <c r="D22" s="3"/>
      <c r="E22" s="3"/>
      <c r="F22" s="3"/>
      <c r="G22" s="3"/>
      <c r="H22" s="10"/>
    </row>
    <row r="23" spans="1:9" x14ac:dyDescent="0.2">
      <c r="A23" s="3"/>
      <c r="B23" s="3"/>
      <c r="C23" s="3"/>
      <c r="D23" s="3"/>
      <c r="E23" s="3"/>
      <c r="F23" s="3"/>
      <c r="G23" s="3"/>
      <c r="H23" s="10"/>
    </row>
    <row r="24" spans="1:9" x14ac:dyDescent="0.2">
      <c r="A24" s="3"/>
      <c r="B24" s="3"/>
      <c r="C24" s="3"/>
      <c r="D24" s="3"/>
      <c r="E24" s="3"/>
      <c r="F24" s="3"/>
      <c r="G24" s="3"/>
      <c r="H24" s="10"/>
    </row>
    <row r="25" spans="1:9" x14ac:dyDescent="0.2">
      <c r="A25" s="3"/>
      <c r="B25" s="3"/>
      <c r="C25" s="3"/>
      <c r="D25" s="3"/>
      <c r="E25" s="3"/>
      <c r="F25" s="3"/>
      <c r="G25" s="3"/>
      <c r="H25" s="10"/>
    </row>
    <row r="26" spans="1:9" x14ac:dyDescent="0.2">
      <c r="A26" s="3"/>
      <c r="B26" s="3"/>
      <c r="C26" s="3"/>
      <c r="D26" s="3"/>
      <c r="E26" s="3"/>
      <c r="F26" s="3"/>
      <c r="G26" s="3"/>
      <c r="H26" s="10"/>
    </row>
    <row r="27" spans="1:9" x14ac:dyDescent="0.2">
      <c r="A27" s="3"/>
      <c r="B27" s="3"/>
      <c r="C27" s="3"/>
      <c r="D27" s="3"/>
      <c r="E27" s="3"/>
      <c r="F27" s="3"/>
      <c r="G27" s="3"/>
    </row>
    <row r="28" spans="1:9" x14ac:dyDescent="0.2">
      <c r="A28" s="3"/>
      <c r="B28" s="3"/>
      <c r="C28" s="3"/>
      <c r="D28" s="3"/>
      <c r="E28" s="3"/>
      <c r="F28" s="3"/>
      <c r="G28" s="3"/>
    </row>
    <row r="29" spans="1:9" x14ac:dyDescent="0.2">
      <c r="A29" s="3"/>
      <c r="B29" s="3"/>
      <c r="C29" s="3"/>
      <c r="D29" s="3"/>
      <c r="E29" s="3"/>
      <c r="F29" s="3"/>
      <c r="G29" s="3"/>
    </row>
    <row r="30" spans="1:9" x14ac:dyDescent="0.2">
      <c r="A30" s="3"/>
      <c r="B30" s="3"/>
      <c r="C30" s="3"/>
      <c r="D30" s="3"/>
      <c r="E30" s="3"/>
      <c r="F30" s="3"/>
      <c r="G30" s="3"/>
    </row>
    <row r="31" spans="1:9" x14ac:dyDescent="0.2">
      <c r="A31" s="3"/>
      <c r="B31" s="3"/>
      <c r="C31" s="3"/>
      <c r="D31" s="3"/>
      <c r="E31" s="3"/>
      <c r="F31" s="3"/>
      <c r="G31" s="43"/>
    </row>
    <row r="32" spans="1:9" x14ac:dyDescent="0.2">
      <c r="A32" s="3"/>
      <c r="B32" s="3"/>
      <c r="C32" s="3"/>
      <c r="D32" s="3"/>
      <c r="E32" s="3"/>
      <c r="F32" s="3"/>
      <c r="G32" s="43"/>
    </row>
    <row r="33" spans="1:9" x14ac:dyDescent="0.2">
      <c r="A33" s="3"/>
      <c r="B33" s="3"/>
      <c r="C33" s="3"/>
      <c r="D33" s="3"/>
      <c r="E33" s="3"/>
      <c r="F33" s="3"/>
      <c r="G33" s="43"/>
    </row>
    <row r="34" spans="1:9" x14ac:dyDescent="0.2">
      <c r="A34" s="3"/>
      <c r="B34" s="3"/>
      <c r="C34" s="3"/>
      <c r="D34" s="3"/>
      <c r="E34" s="3"/>
      <c r="F34" s="3"/>
      <c r="G34" s="43"/>
    </row>
    <row r="35" spans="1:9" x14ac:dyDescent="0.2">
      <c r="A35" s="3"/>
      <c r="B35" s="3"/>
      <c r="C35" s="3"/>
      <c r="D35" s="3"/>
      <c r="E35" s="3"/>
      <c r="F35" s="3"/>
    </row>
    <row r="36" spans="1:9" x14ac:dyDescent="0.2">
      <c r="A36" s="3"/>
      <c r="B36" s="3"/>
      <c r="C36" s="3"/>
      <c r="D36" s="3"/>
      <c r="E36" s="3"/>
      <c r="F36" s="3"/>
      <c r="G36" s="43"/>
    </row>
    <row r="37" spans="1:9" x14ac:dyDescent="0.2">
      <c r="A37" s="3"/>
      <c r="B37" s="3"/>
      <c r="C37" s="3"/>
      <c r="D37" s="3"/>
      <c r="E37" s="3"/>
      <c r="F37" s="3"/>
      <c r="G37" s="43"/>
    </row>
    <row r="38" spans="1:9" s="11" customFormat="1" x14ac:dyDescent="0.2">
      <c r="A38" s="3"/>
      <c r="B38" s="3"/>
      <c r="C38" s="3"/>
      <c r="D38" s="3"/>
      <c r="E38" s="3"/>
      <c r="F38" s="3"/>
      <c r="G38" s="44"/>
      <c r="I38"/>
    </row>
    <row r="39" spans="1:9" s="11" customFormat="1" x14ac:dyDescent="0.2">
      <c r="A39" s="3"/>
      <c r="B39" s="3"/>
      <c r="C39" s="3"/>
      <c r="D39" s="3"/>
      <c r="E39" s="3"/>
      <c r="F39" s="3"/>
      <c r="G39" s="43"/>
      <c r="I39"/>
    </row>
    <row r="40" spans="1:9" s="11" customFormat="1" x14ac:dyDescent="0.2">
      <c r="A40" s="3"/>
      <c r="B40" s="3"/>
      <c r="C40" s="3"/>
      <c r="D40" s="3"/>
      <c r="E40" s="3"/>
      <c r="F40" s="3"/>
      <c r="I40"/>
    </row>
    <row r="41" spans="1:9" s="11" customFormat="1" x14ac:dyDescent="0.2">
      <c r="A41" s="3"/>
      <c r="B41" s="3"/>
      <c r="C41" s="3"/>
      <c r="D41" s="3"/>
      <c r="E41" s="3"/>
      <c r="F41" s="3"/>
      <c r="G41" s="43"/>
      <c r="I41"/>
    </row>
    <row r="42" spans="1:9" s="11" customFormat="1" x14ac:dyDescent="0.2">
      <c r="A42" s="3"/>
      <c r="B42" s="3"/>
      <c r="C42" s="3"/>
      <c r="D42" s="3"/>
      <c r="E42" s="3"/>
      <c r="F42" s="3"/>
      <c r="G42" s="43"/>
      <c r="I42"/>
    </row>
    <row r="43" spans="1:9" s="11" customFormat="1" x14ac:dyDescent="0.2">
      <c r="A43" s="3"/>
      <c r="B43" s="3"/>
      <c r="C43" s="3"/>
      <c r="D43" s="3"/>
      <c r="E43" s="3"/>
      <c r="F43" s="3"/>
      <c r="G43" s="43"/>
      <c r="I43"/>
    </row>
    <row r="44" spans="1:9" s="11" customFormat="1" x14ac:dyDescent="0.2">
      <c r="A44" s="3"/>
      <c r="B44" s="3"/>
      <c r="C44" s="3"/>
      <c r="D44" s="3"/>
      <c r="E44" s="3"/>
      <c r="F44" s="3"/>
      <c r="G44" s="43"/>
      <c r="I44"/>
    </row>
    <row r="45" spans="1:9" s="11" customFormat="1" x14ac:dyDescent="0.2">
      <c r="A45" s="3"/>
      <c r="B45" s="3"/>
      <c r="C45" s="3"/>
      <c r="D45" s="3"/>
      <c r="E45" s="3"/>
      <c r="F45" s="3"/>
      <c r="G45" s="43"/>
      <c r="I45"/>
    </row>
    <row r="46" spans="1:9" s="11" customFormat="1" x14ac:dyDescent="0.2">
      <c r="A46" s="3"/>
      <c r="B46" s="3"/>
      <c r="C46" s="3"/>
      <c r="D46" s="3"/>
      <c r="E46" s="3"/>
      <c r="F46" s="3"/>
      <c r="G46" s="43"/>
      <c r="I46"/>
    </row>
    <row r="47" spans="1:9" s="11" customFormat="1" x14ac:dyDescent="0.2">
      <c r="A47"/>
      <c r="B47"/>
      <c r="C47"/>
      <c r="D47"/>
      <c r="E47"/>
      <c r="F47"/>
      <c r="G47" s="44"/>
      <c r="I47"/>
    </row>
    <row r="53" spans="7:7" x14ac:dyDescent="0.2">
      <c r="G53" s="43" t="s">
        <v>377</v>
      </c>
    </row>
  </sheetData>
  <mergeCells count="1">
    <mergeCell ref="E6:F6"/>
  </mergeCells>
  <conditionalFormatting sqref="B12:B13">
    <cfRule type="cellIs" dxfId="5" priority="1" stopIfTrue="1" operator="equal">
      <formula>#REF!</formula>
    </cfRule>
  </conditionalFormatting>
  <pageMargins left="0.5" right="0.5" top="0.5" bottom="0.5" header="0.5" footer="0.5"/>
  <pageSetup firstPageNumber="2" fitToHeight="0" orientation="portrait"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76EC3-AE91-43C7-B4F2-5ADDCF9FF548}">
  <sheetPr codeName="CofA8"/>
  <dimension ref="A1:I53"/>
  <sheetViews>
    <sheetView topLeftCell="A2" zoomScaleNormal="100" workbookViewId="0">
      <selection activeCell="G53" sqref="G53"/>
    </sheetView>
  </sheetViews>
  <sheetFormatPr defaultColWidth="2.7109375" defaultRowHeight="12.75" x14ac:dyDescent="0.2"/>
  <cols>
    <col min="1" max="1" width="18" customWidth="1"/>
    <col min="2" max="2" width="17.7109375" customWidth="1"/>
    <col min="3" max="3" width="14.140625" customWidth="1"/>
    <col min="4" max="4" width="15" customWidth="1"/>
    <col min="5" max="5" width="11.85546875" customWidth="1"/>
    <col min="6" max="6" width="8" customWidth="1"/>
    <col min="7" max="7" width="10.42578125" customWidth="1"/>
    <col min="8" max="8" width="12.140625" style="11" customWidth="1"/>
    <col min="9" max="9" width="10.140625" customWidth="1"/>
  </cols>
  <sheetData>
    <row r="1" spans="1:9" s="3" customFormat="1" ht="11.25" hidden="1" customHeight="1" x14ac:dyDescent="0.2">
      <c r="A1" s="3">
        <f ca="1">SheetNumber()</f>
        <v>9</v>
      </c>
      <c r="B1" s="3">
        <f ca="1">MATCH(INDEX(SampleID, A1), AnalysisSampleID, 0)</f>
        <v>14</v>
      </c>
      <c r="H1" s="10"/>
    </row>
    <row r="2" spans="1:9" s="3" customFormat="1" ht="61.5" customHeight="1" x14ac:dyDescent="0.2">
      <c r="H2" s="10"/>
    </row>
    <row r="3" spans="1:9" x14ac:dyDescent="0.2">
      <c r="A3" s="20" t="s">
        <v>4</v>
      </c>
      <c r="B3" s="22">
        <f ca="1">IF(ISERROR(INDEX(ReceivedDate,$A$1)), "", IF(ISBLANK(INDEX(ReceivedDate,$A$1)), "", INDEX(ReceivedDate,$A$1)))</f>
        <v>45569</v>
      </c>
      <c r="D3" s="20" t="s">
        <v>5</v>
      </c>
      <c r="E3" s="41" t="str">
        <f ca="1">IF(ISERROR(INDEX(Customer.Name,$A$1)), "", IF(ISBLANK(INDEX(Customer.Name,$A$1)), "", INDEX(Customer.Name,$A$1)))</f>
        <v>Big Valley</v>
      </c>
      <c r="F3" s="10"/>
      <c r="G3" s="3"/>
    </row>
    <row r="4" spans="1:9" ht="13.15" customHeight="1" x14ac:dyDescent="0.2">
      <c r="A4" s="20" t="s">
        <v>35</v>
      </c>
      <c r="B4" s="46">
        <f ca="1">IF(ISERROR(INDEX(ReceivedTime,$A$1)), "", IF(ISBLANK(INDEX(ReceivedTime,$A$1)), "", INDEX(ReceivedTime,$A$1)))</f>
        <v>0.38541666666666669</v>
      </c>
      <c r="C4" s="3"/>
      <c r="D4" s="20" t="s">
        <v>17</v>
      </c>
      <c r="E4" s="41" t="str">
        <f ca="1">IF(ISERROR(INDEX(Project.Name,$A$1)), "", IF(ISBLANK(INDEX(Project.Name,$A$1)), "", INDEX(Project.Name,$A$1)))</f>
        <v>HABs</v>
      </c>
    </row>
    <row r="5" spans="1:9" ht="12.75" customHeight="1" x14ac:dyDescent="0.2">
      <c r="A5" s="20" t="s">
        <v>36</v>
      </c>
      <c r="B5" s="22" t="str">
        <f ca="1">IF(ISERROR(INDEX(SampleType.Name,$A$1)), "", IF(ISBLANK(INDEX(SampleType.Name,$A$1)), "", INDEX(SampleType.Name,$A$1)))</f>
        <v>Water Grab</v>
      </c>
      <c r="C5" s="19"/>
      <c r="D5" s="20" t="s">
        <v>25</v>
      </c>
      <c r="E5" s="3" t="str">
        <f ca="1">IF(ISERROR(INDEX(Location.Name,$A$1)), "", IF(ISBLANK(INDEX(Location.Name,$A$1)), "", INDEX(Location.Name,$A$1)))</f>
        <v>ELEM01</v>
      </c>
      <c r="F5" s="10"/>
      <c r="G5" s="3"/>
    </row>
    <row r="6" spans="1:9" ht="12.75" customHeight="1" x14ac:dyDescent="0.2">
      <c r="A6" s="20" t="s">
        <v>16</v>
      </c>
      <c r="B6" s="10" t="str">
        <f ca="1">IF(ISERROR(INDEX(Description,$A$1)), "", IF(ISBLANK(INDEX(Description,$A$1)), "", INDEX(Description,$A$1)))</f>
        <v>BV1314</v>
      </c>
      <c r="C6" s="46"/>
      <c r="D6" s="20" t="s">
        <v>9</v>
      </c>
      <c r="E6" s="65">
        <f ca="1">IF(ISERROR(INDEX(CollectedDateTime,$A$1)), "", IF(ISBLANK(INDEX(CollectedDateTime,$A$1)), "", INDEX(CollectedDateTime,$A$1)))</f>
        <v>45567.583333333336</v>
      </c>
      <c r="F6" s="65"/>
      <c r="G6" s="3"/>
    </row>
    <row r="7" spans="1:9" ht="12.75" customHeight="1" x14ac:dyDescent="0.2">
      <c r="A7" s="20" t="s">
        <v>24</v>
      </c>
      <c r="B7" s="21">
        <f ca="1">NOW()</f>
        <v>45580.517125694445</v>
      </c>
      <c r="C7" s="3"/>
      <c r="D7" s="11"/>
    </row>
    <row r="8" spans="1:9" ht="12.75" customHeight="1" x14ac:dyDescent="0.2">
      <c r="C8" s="3"/>
      <c r="D8" s="20" t="s">
        <v>13</v>
      </c>
      <c r="E8" s="10" t="str">
        <f ca="1">IF(ISERROR(INDEX(CustomerSampleID,$A$1)), "", IF(ISBLANK(INDEX(CustomerSampleID,$A$1)), "", INDEX(CustomerSampleID,$A$1)))</f>
        <v>2835</v>
      </c>
    </row>
    <row r="9" spans="1:9" ht="12.75" customHeight="1" x14ac:dyDescent="0.2">
      <c r="C9" s="3"/>
      <c r="F9" s="18"/>
      <c r="G9" s="23"/>
      <c r="H9" s="10"/>
    </row>
    <row r="10" spans="1:9" x14ac:dyDescent="0.2">
      <c r="A10" s="33" t="s">
        <v>33</v>
      </c>
      <c r="B10" s="3"/>
      <c r="C10" s="3"/>
      <c r="D10" s="3"/>
      <c r="F10" s="3"/>
      <c r="G10" s="3"/>
      <c r="H10" s="10"/>
    </row>
    <row r="11" spans="1:9" s="7" customFormat="1" ht="15.75" customHeight="1" x14ac:dyDescent="0.2">
      <c r="A11" s="50" t="s">
        <v>8</v>
      </c>
      <c r="B11" s="26" t="s">
        <v>14</v>
      </c>
      <c r="C11" s="26" t="s">
        <v>6</v>
      </c>
      <c r="D11" s="32" t="s">
        <v>39</v>
      </c>
      <c r="E11" s="26" t="s">
        <v>7</v>
      </c>
      <c r="F11" s="26" t="s">
        <v>31</v>
      </c>
      <c r="G11" s="58" t="s">
        <v>27</v>
      </c>
      <c r="I11" s="9"/>
    </row>
    <row r="12" spans="1:9" s="3" customFormat="1" ht="19.899999999999999" customHeight="1" x14ac:dyDescent="0.2">
      <c r="A12" s="17" t="str">
        <f ca="1">IF(ISBLANK(INDEX(Method.Name, ROW() - ROW(OneAnalysisResults) + $B$1)), "",INDEX(Method.Name, ROW() - ROW(OneAnalysisResults) + $B$1))</f>
        <v>ELISA</v>
      </c>
      <c r="B12" s="17" t="str">
        <f ca="1">IF(ISBLANK(INDEX(AnalyteReportName, ROW() - ROW(OneAnalysisResults) + $B$1)), "",INDEX(AnalyteReportName, ROW() - ROW(OneAnalysisResults) + $B$1))</f>
        <v>Microcystin/Nod.</v>
      </c>
      <c r="C12" s="17" t="str">
        <f ca="1">IF(ISBLANK(INDEX(AnalysisResultFormatted, ROW() - ROW(OneAnalysisResults) + $B$1)), "",INDEX(AnalysisResultFormatted, ROW() - ROW(OneAnalysisResults) + $B$1))</f>
        <v>0.19</v>
      </c>
      <c r="D12" s="17">
        <f ca="1">IF(ISBLANK(INDEX(DilutionFactor, ROW() - ROW(OneAnalysisResults) + $B$1)), "",INDEX(DilutionFactor, ROW() - ROW(OneAnalysisResults) + $B$1))</f>
        <v>0.15</v>
      </c>
      <c r="E12" s="17" t="str">
        <f ca="1">IF(ISBLANK(INDEX(Abbreviation, ROW() - ROW(OneAnalysisResults) + $B$1)), "",INDEX(Abbreviation, ROW() - ROW(OneAnalysisResults) + $B$1))</f>
        <v>μg/L</v>
      </c>
      <c r="F12" s="17"/>
      <c r="G12" s="17">
        <v>1</v>
      </c>
    </row>
    <row r="13" spans="1:9" s="3" customFormat="1" ht="19.899999999999999" customHeight="1" x14ac:dyDescent="0.2">
      <c r="A13" s="17"/>
      <c r="B13" s="17"/>
      <c r="C13" s="17"/>
      <c r="D13" s="17"/>
      <c r="E13" s="17"/>
      <c r="F13" s="17"/>
      <c r="G13" s="17"/>
    </row>
    <row r="14" spans="1:9" ht="12" customHeight="1" x14ac:dyDescent="0.2">
      <c r="B14" s="3"/>
      <c r="C14" s="3"/>
      <c r="E14" s="3"/>
      <c r="F14" s="45"/>
      <c r="G14" s="17"/>
      <c r="H14" s="10"/>
    </row>
    <row r="15" spans="1:9" x14ac:dyDescent="0.2">
      <c r="A15" s="3"/>
      <c r="C15" s="3"/>
      <c r="D15" s="3"/>
      <c r="E15" s="3"/>
      <c r="F15" s="17"/>
      <c r="G15" s="17"/>
      <c r="H15" s="10"/>
    </row>
    <row r="16" spans="1:9" x14ac:dyDescent="0.2">
      <c r="A16" s="3"/>
      <c r="B16" s="3"/>
      <c r="C16" s="3"/>
      <c r="D16" s="3"/>
      <c r="E16" s="3"/>
      <c r="F16" s="3"/>
      <c r="G16" s="17"/>
      <c r="H16" s="10"/>
    </row>
    <row r="17" spans="1:9" x14ac:dyDescent="0.2">
      <c r="A17" s="3"/>
      <c r="B17" s="3"/>
      <c r="C17" s="3"/>
      <c r="D17" s="3"/>
      <c r="E17" s="3"/>
      <c r="F17" s="3"/>
      <c r="G17" s="17"/>
      <c r="H17" s="10"/>
    </row>
    <row r="18" spans="1:9" x14ac:dyDescent="0.2">
      <c r="A18" s="24"/>
      <c r="B18" s="24"/>
      <c r="C18" s="24"/>
      <c r="D18" s="3"/>
      <c r="E18" s="18"/>
      <c r="F18" s="18"/>
      <c r="G18" s="18"/>
      <c r="H18" s="3"/>
      <c r="I18" s="11"/>
    </row>
    <row r="19" spans="1:9" x14ac:dyDescent="0.2">
      <c r="A19" s="24"/>
      <c r="B19" s="24"/>
      <c r="C19" s="24"/>
      <c r="D19" s="3"/>
      <c r="E19" s="18"/>
      <c r="F19" s="18"/>
      <c r="G19" s="18"/>
      <c r="H19" s="3"/>
      <c r="I19" s="11"/>
    </row>
    <row r="20" spans="1:9" x14ac:dyDescent="0.2">
      <c r="A20" s="24"/>
      <c r="B20" s="24"/>
      <c r="C20" s="24"/>
      <c r="D20" s="3"/>
      <c r="E20" s="3"/>
      <c r="F20" s="3"/>
      <c r="G20" s="3"/>
      <c r="H20" s="10"/>
    </row>
    <row r="21" spans="1:9" x14ac:dyDescent="0.2">
      <c r="A21" s="3"/>
      <c r="B21" s="3"/>
      <c r="C21" s="3"/>
      <c r="D21" s="3"/>
      <c r="E21" s="3"/>
      <c r="F21" s="3"/>
      <c r="G21" s="3"/>
      <c r="H21" s="10"/>
    </row>
    <row r="22" spans="1:9" x14ac:dyDescent="0.2">
      <c r="A22" s="3"/>
      <c r="B22" s="3"/>
      <c r="C22" s="3"/>
      <c r="D22" s="3"/>
      <c r="E22" s="3"/>
      <c r="F22" s="3"/>
      <c r="G22" s="3"/>
      <c r="H22" s="10"/>
    </row>
    <row r="23" spans="1:9" x14ac:dyDescent="0.2">
      <c r="A23" s="3"/>
      <c r="B23" s="3"/>
      <c r="C23" s="3"/>
      <c r="D23" s="3"/>
      <c r="E23" s="3"/>
      <c r="F23" s="3"/>
      <c r="G23" s="3"/>
      <c r="H23" s="10"/>
    </row>
    <row r="24" spans="1:9" x14ac:dyDescent="0.2">
      <c r="A24" s="3"/>
      <c r="B24" s="3"/>
      <c r="C24" s="3"/>
      <c r="D24" s="3"/>
      <c r="E24" s="3"/>
      <c r="F24" s="3"/>
      <c r="G24" s="3"/>
      <c r="H24" s="10"/>
    </row>
    <row r="25" spans="1:9" x14ac:dyDescent="0.2">
      <c r="A25" s="3"/>
      <c r="B25" s="3"/>
      <c r="C25" s="3"/>
      <c r="D25" s="3"/>
      <c r="E25" s="3"/>
      <c r="F25" s="3"/>
      <c r="G25" s="3"/>
      <c r="H25" s="10"/>
    </row>
    <row r="26" spans="1:9" x14ac:dyDescent="0.2">
      <c r="A26" s="3"/>
      <c r="B26" s="3"/>
      <c r="C26" s="3"/>
      <c r="D26" s="3"/>
      <c r="E26" s="3"/>
      <c r="F26" s="3"/>
      <c r="G26" s="3"/>
      <c r="H26" s="10"/>
    </row>
    <row r="27" spans="1:9" x14ac:dyDescent="0.2">
      <c r="A27" s="3"/>
      <c r="B27" s="3"/>
      <c r="C27" s="3"/>
      <c r="D27" s="3"/>
      <c r="E27" s="3"/>
      <c r="F27" s="3"/>
      <c r="G27" s="3"/>
    </row>
    <row r="28" spans="1:9" x14ac:dyDescent="0.2">
      <c r="A28" s="3"/>
      <c r="B28" s="3"/>
      <c r="C28" s="3"/>
      <c r="D28" s="3"/>
      <c r="E28" s="3"/>
      <c r="F28" s="3"/>
      <c r="G28" s="3"/>
    </row>
    <row r="29" spans="1:9" x14ac:dyDescent="0.2">
      <c r="A29" s="3"/>
      <c r="B29" s="3"/>
      <c r="C29" s="3"/>
      <c r="D29" s="3"/>
      <c r="E29" s="3"/>
      <c r="F29" s="3"/>
      <c r="G29" s="3"/>
    </row>
    <row r="30" spans="1:9" x14ac:dyDescent="0.2">
      <c r="A30" s="3"/>
      <c r="B30" s="3"/>
      <c r="C30" s="3"/>
      <c r="D30" s="3"/>
      <c r="E30" s="3"/>
      <c r="F30" s="3"/>
      <c r="G30" s="3"/>
    </row>
    <row r="31" spans="1:9" x14ac:dyDescent="0.2">
      <c r="A31" s="3"/>
      <c r="B31" s="3"/>
      <c r="C31" s="3"/>
      <c r="D31" s="3"/>
      <c r="E31" s="3"/>
      <c r="F31" s="3"/>
      <c r="G31" s="43"/>
    </row>
    <row r="32" spans="1:9" x14ac:dyDescent="0.2">
      <c r="A32" s="3"/>
      <c r="B32" s="3"/>
      <c r="C32" s="3"/>
      <c r="D32" s="3"/>
      <c r="E32" s="3"/>
      <c r="F32" s="3"/>
      <c r="G32" s="43"/>
    </row>
    <row r="33" spans="1:9" x14ac:dyDescent="0.2">
      <c r="A33" s="3"/>
      <c r="B33" s="3"/>
      <c r="C33" s="3"/>
      <c r="D33" s="3"/>
      <c r="E33" s="3"/>
      <c r="F33" s="3"/>
      <c r="G33" s="43"/>
    </row>
    <row r="34" spans="1:9" x14ac:dyDescent="0.2">
      <c r="A34" s="3"/>
      <c r="B34" s="3"/>
      <c r="C34" s="3"/>
      <c r="D34" s="3"/>
      <c r="E34" s="3"/>
      <c r="F34" s="3"/>
      <c r="G34" s="43"/>
    </row>
    <row r="35" spans="1:9" x14ac:dyDescent="0.2">
      <c r="A35" s="3"/>
      <c r="B35" s="3"/>
      <c r="C35" s="3"/>
      <c r="D35" s="3"/>
      <c r="E35" s="3"/>
      <c r="F35" s="3"/>
    </row>
    <row r="36" spans="1:9" x14ac:dyDescent="0.2">
      <c r="A36" s="3"/>
      <c r="B36" s="3"/>
      <c r="C36" s="3"/>
      <c r="D36" s="3"/>
      <c r="E36" s="3"/>
      <c r="F36" s="3"/>
      <c r="G36" s="43"/>
    </row>
    <row r="37" spans="1:9" x14ac:dyDescent="0.2">
      <c r="A37" s="3"/>
      <c r="B37" s="3"/>
      <c r="C37" s="3"/>
      <c r="D37" s="3"/>
      <c r="E37" s="3"/>
      <c r="F37" s="3"/>
      <c r="G37" s="43"/>
    </row>
    <row r="38" spans="1:9" s="11" customFormat="1" x14ac:dyDescent="0.2">
      <c r="A38" s="3"/>
      <c r="B38" s="3"/>
      <c r="C38" s="3"/>
      <c r="D38" s="3"/>
      <c r="E38" s="3"/>
      <c r="F38" s="3"/>
      <c r="G38" s="44"/>
      <c r="I38"/>
    </row>
    <row r="39" spans="1:9" s="11" customFormat="1" x14ac:dyDescent="0.2">
      <c r="A39" s="3"/>
      <c r="B39" s="3"/>
      <c r="C39" s="3"/>
      <c r="D39" s="3"/>
      <c r="E39" s="3"/>
      <c r="F39" s="3"/>
      <c r="G39" s="43"/>
      <c r="I39"/>
    </row>
    <row r="40" spans="1:9" s="11" customFormat="1" x14ac:dyDescent="0.2">
      <c r="A40" s="3"/>
      <c r="B40" s="3"/>
      <c r="C40" s="3"/>
      <c r="D40" s="3"/>
      <c r="E40" s="3"/>
      <c r="F40" s="3"/>
      <c r="I40"/>
    </row>
    <row r="41" spans="1:9" s="11" customFormat="1" x14ac:dyDescent="0.2">
      <c r="A41" s="3"/>
      <c r="B41" s="3"/>
      <c r="C41" s="3"/>
      <c r="D41" s="3"/>
      <c r="E41" s="3"/>
      <c r="F41" s="3"/>
      <c r="G41" s="43"/>
      <c r="I41"/>
    </row>
    <row r="42" spans="1:9" s="11" customFormat="1" x14ac:dyDescent="0.2">
      <c r="A42" s="3"/>
      <c r="B42" s="3"/>
      <c r="C42" s="3"/>
      <c r="D42" s="3"/>
      <c r="E42" s="3"/>
      <c r="F42" s="3"/>
      <c r="G42" s="43"/>
      <c r="I42"/>
    </row>
    <row r="43" spans="1:9" s="11" customFormat="1" x14ac:dyDescent="0.2">
      <c r="A43" s="3"/>
      <c r="B43" s="3"/>
      <c r="C43" s="3"/>
      <c r="D43" s="3"/>
      <c r="E43" s="3"/>
      <c r="F43" s="3"/>
      <c r="G43" s="43"/>
      <c r="I43"/>
    </row>
    <row r="44" spans="1:9" s="11" customFormat="1" x14ac:dyDescent="0.2">
      <c r="A44" s="3"/>
      <c r="B44" s="3"/>
      <c r="C44" s="3"/>
      <c r="D44" s="3"/>
      <c r="E44" s="3"/>
      <c r="F44" s="3"/>
      <c r="G44" s="43"/>
      <c r="I44"/>
    </row>
    <row r="45" spans="1:9" s="11" customFormat="1" x14ac:dyDescent="0.2">
      <c r="A45" s="3"/>
      <c r="B45" s="3"/>
      <c r="C45" s="3"/>
      <c r="D45" s="3"/>
      <c r="E45" s="3"/>
      <c r="F45" s="3"/>
      <c r="G45" s="43"/>
      <c r="I45"/>
    </row>
    <row r="46" spans="1:9" s="11" customFormat="1" x14ac:dyDescent="0.2">
      <c r="A46" s="3"/>
      <c r="B46" s="3"/>
      <c r="C46" s="3"/>
      <c r="D46" s="3"/>
      <c r="E46" s="3"/>
      <c r="F46" s="3"/>
      <c r="G46" s="43"/>
      <c r="I46"/>
    </row>
    <row r="47" spans="1:9" s="11" customFormat="1" x14ac:dyDescent="0.2">
      <c r="A47"/>
      <c r="B47"/>
      <c r="C47"/>
      <c r="D47"/>
      <c r="E47"/>
      <c r="F47"/>
      <c r="G47" s="44"/>
      <c r="I47"/>
    </row>
    <row r="53" spans="7:7" x14ac:dyDescent="0.2">
      <c r="G53" s="43" t="s">
        <v>378</v>
      </c>
    </row>
  </sheetData>
  <mergeCells count="1">
    <mergeCell ref="E6:F6"/>
  </mergeCells>
  <conditionalFormatting sqref="B12:B13">
    <cfRule type="cellIs" dxfId="4" priority="1" stopIfTrue="1" operator="equal">
      <formula>#REF!</formula>
    </cfRule>
  </conditionalFormatting>
  <pageMargins left="0.5" right="0.5" top="0.5" bottom="0.5" header="0.5" footer="0.5"/>
  <pageSetup firstPageNumber="2" fitToHeight="0" orientation="portrait"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6A774-61E4-4B0C-AD11-4628A22029A4}">
  <sheetPr codeName="CofA9"/>
  <dimension ref="A1:I53"/>
  <sheetViews>
    <sheetView topLeftCell="A2" zoomScaleNormal="100" workbookViewId="0">
      <selection activeCell="G53" sqref="G53"/>
    </sheetView>
  </sheetViews>
  <sheetFormatPr defaultColWidth="2.7109375" defaultRowHeight="12.75" x14ac:dyDescent="0.2"/>
  <cols>
    <col min="1" max="1" width="18" customWidth="1"/>
    <col min="2" max="2" width="17.7109375" customWidth="1"/>
    <col min="3" max="3" width="14.140625" customWidth="1"/>
    <col min="4" max="4" width="15" customWidth="1"/>
    <col min="5" max="5" width="11.85546875" customWidth="1"/>
    <col min="6" max="6" width="8" customWidth="1"/>
    <col min="7" max="7" width="10.42578125" customWidth="1"/>
    <col min="8" max="8" width="12.140625" style="11" customWidth="1"/>
    <col min="9" max="9" width="10.140625" customWidth="1"/>
  </cols>
  <sheetData>
    <row r="1" spans="1:9" s="3" customFormat="1" ht="11.25" hidden="1" customHeight="1" x14ac:dyDescent="0.2">
      <c r="A1" s="3">
        <f ca="1">SheetNumber()</f>
        <v>10</v>
      </c>
      <c r="B1" s="3">
        <f ca="1">MATCH(INDEX(SampleID, A1), AnalysisSampleID, 0)</f>
        <v>15</v>
      </c>
      <c r="H1" s="10"/>
    </row>
    <row r="2" spans="1:9" s="3" customFormat="1" ht="61.5" customHeight="1" x14ac:dyDescent="0.2">
      <c r="H2" s="10"/>
    </row>
    <row r="3" spans="1:9" x14ac:dyDescent="0.2">
      <c r="A3" s="20" t="s">
        <v>4</v>
      </c>
      <c r="B3" s="22">
        <f ca="1">IF(ISERROR(INDEX(ReceivedDate,$A$1)), "", IF(ISBLANK(INDEX(ReceivedDate,$A$1)), "", INDEX(ReceivedDate,$A$1)))</f>
        <v>45569</v>
      </c>
      <c r="D3" s="20" t="s">
        <v>5</v>
      </c>
      <c r="E3" s="41" t="str">
        <f ca="1">IF(ISERROR(INDEX(Customer.Name,$A$1)), "", IF(ISBLANK(INDEX(Customer.Name,$A$1)), "", INDEX(Customer.Name,$A$1)))</f>
        <v>Big Valley</v>
      </c>
      <c r="F3" s="10"/>
      <c r="G3" s="3"/>
    </row>
    <row r="4" spans="1:9" ht="13.15" customHeight="1" x14ac:dyDescent="0.2">
      <c r="A4" s="20" t="s">
        <v>35</v>
      </c>
      <c r="B4" s="46">
        <f ca="1">IF(ISERROR(INDEX(ReceivedTime,$A$1)), "", IF(ISBLANK(INDEX(ReceivedTime,$A$1)), "", INDEX(ReceivedTime,$A$1)))</f>
        <v>0.38541666666666669</v>
      </c>
      <c r="C4" s="3"/>
      <c r="D4" s="20" t="s">
        <v>17</v>
      </c>
      <c r="E4" s="41" t="str">
        <f ca="1">IF(ISERROR(INDEX(Project.Name,$A$1)), "", IF(ISBLANK(INDEX(Project.Name,$A$1)), "", INDEX(Project.Name,$A$1)))</f>
        <v>HABs</v>
      </c>
    </row>
    <row r="5" spans="1:9" ht="12.75" customHeight="1" x14ac:dyDescent="0.2">
      <c r="A5" s="20" t="s">
        <v>36</v>
      </c>
      <c r="B5" s="22" t="str">
        <f ca="1">IF(ISERROR(INDEX(SampleType.Name,$A$1)), "", IF(ISBLANK(INDEX(SampleType.Name,$A$1)), "", INDEX(SampleType.Name,$A$1)))</f>
        <v>Water Grab</v>
      </c>
      <c r="C5" s="19"/>
      <c r="D5" s="20" t="s">
        <v>25</v>
      </c>
      <c r="E5" s="3" t="str">
        <f ca="1">IF(ISERROR(INDEX(Location.Name,$A$1)), "", IF(ISBLANK(INDEX(Location.Name,$A$1)), "", INDEX(Location.Name,$A$1)))</f>
        <v>KEYS03</v>
      </c>
      <c r="F5" s="10"/>
      <c r="G5" s="3"/>
    </row>
    <row r="6" spans="1:9" ht="12.75" customHeight="1" x14ac:dyDescent="0.2">
      <c r="A6" s="20" t="s">
        <v>16</v>
      </c>
      <c r="B6" s="10" t="str">
        <f ca="1">IF(ISERROR(INDEX(Description,$A$1)), "", IF(ISBLANK(INDEX(Description,$A$1)), "", INDEX(Description,$A$1)))</f>
        <v>BV1315</v>
      </c>
      <c r="C6" s="46"/>
      <c r="D6" s="20" t="s">
        <v>9</v>
      </c>
      <c r="E6" s="65">
        <f ca="1">IF(ISERROR(INDEX(CollectedDateTime,$A$1)), "", IF(ISBLANK(INDEX(CollectedDateTime,$A$1)), "", INDEX(CollectedDateTime,$A$1)))</f>
        <v>45567.599305555559</v>
      </c>
      <c r="F6" s="65"/>
      <c r="G6" s="3"/>
    </row>
    <row r="7" spans="1:9" ht="12.75" customHeight="1" x14ac:dyDescent="0.2">
      <c r="A7" s="20" t="s">
        <v>24</v>
      </c>
      <c r="B7" s="21">
        <f ca="1">NOW()</f>
        <v>45580.517125694445</v>
      </c>
      <c r="C7" s="3"/>
      <c r="D7" s="11"/>
    </row>
    <row r="8" spans="1:9" ht="12.75" customHeight="1" x14ac:dyDescent="0.2">
      <c r="C8" s="3"/>
      <c r="D8" s="20" t="s">
        <v>13</v>
      </c>
      <c r="E8" s="10" t="str">
        <f ca="1">IF(ISERROR(INDEX(CustomerSampleID,$A$1)), "", IF(ISBLANK(INDEX(CustomerSampleID,$A$1)), "", INDEX(CustomerSampleID,$A$1)))</f>
        <v>2836</v>
      </c>
    </row>
    <row r="9" spans="1:9" ht="12.75" customHeight="1" x14ac:dyDescent="0.2">
      <c r="C9" s="3"/>
      <c r="F9" s="18"/>
      <c r="G9" s="23"/>
      <c r="H9" s="10"/>
    </row>
    <row r="10" spans="1:9" x14ac:dyDescent="0.2">
      <c r="A10" s="33" t="s">
        <v>33</v>
      </c>
      <c r="B10" s="3"/>
      <c r="C10" s="3"/>
      <c r="D10" s="3"/>
      <c r="F10" s="3"/>
      <c r="G10" s="3"/>
      <c r="H10" s="10"/>
    </row>
    <row r="11" spans="1:9" s="7" customFormat="1" ht="15.75" customHeight="1" x14ac:dyDescent="0.2">
      <c r="A11" s="50" t="s">
        <v>8</v>
      </c>
      <c r="B11" s="26" t="s">
        <v>14</v>
      </c>
      <c r="C11" s="26" t="s">
        <v>6</v>
      </c>
      <c r="D11" s="32" t="s">
        <v>39</v>
      </c>
      <c r="E11" s="26" t="s">
        <v>7</v>
      </c>
      <c r="F11" s="26" t="s">
        <v>31</v>
      </c>
      <c r="G11" s="58" t="s">
        <v>27</v>
      </c>
      <c r="I11" s="9"/>
    </row>
    <row r="12" spans="1:9" s="3" customFormat="1" ht="19.899999999999999" customHeight="1" x14ac:dyDescent="0.2">
      <c r="A12" s="17" t="str">
        <f ca="1">IF(ISBLANK(INDEX(Method.Name, ROW() - ROW(OneAnalysisResults) + $B$1)), "",INDEX(Method.Name, ROW() - ROW(OneAnalysisResults) + $B$1))</f>
        <v>ELISA</v>
      </c>
      <c r="B12" s="17" t="str">
        <f ca="1">IF(ISBLANK(INDEX(AnalyteReportName, ROW() - ROW(OneAnalysisResults) + $B$1)), "",INDEX(AnalyteReportName, ROW() - ROW(OneAnalysisResults) + $B$1))</f>
        <v>Microcystin/Nod.</v>
      </c>
      <c r="C12" s="17" t="str">
        <f ca="1">IF(ISBLANK(INDEX(AnalysisResultFormatted, ROW() - ROW(OneAnalysisResults) + $B$1)), "",INDEX(AnalysisResultFormatted, ROW() - ROW(OneAnalysisResults) + $B$1))</f>
        <v>3.73</v>
      </c>
      <c r="D12" s="59">
        <f ca="1">IF(ISBLANK(INDEX(DilutionFactor, ROW() - ROW(OneAnalysisResults) + $B$1)), "",INDEX(DilutionFactor, ROW() - ROW(OneAnalysisResults) + $B$1))</f>
        <v>1.5</v>
      </c>
      <c r="E12" s="17" t="str">
        <f ca="1">IF(ISBLANK(INDEX(Abbreviation, ROW() - ROW(OneAnalysisResults) + $B$1)), "",INDEX(Abbreviation, ROW() - ROW(OneAnalysisResults) + $B$1))</f>
        <v>μg/L</v>
      </c>
      <c r="F12" s="17" t="s">
        <v>40</v>
      </c>
      <c r="G12" s="17">
        <v>2</v>
      </c>
    </row>
    <row r="13" spans="1:9" s="3" customFormat="1" ht="19.899999999999999" customHeight="1" x14ac:dyDescent="0.2">
      <c r="A13" s="17"/>
      <c r="B13" s="17"/>
      <c r="C13" s="17"/>
      <c r="D13" s="17"/>
      <c r="E13" s="17"/>
      <c r="F13" s="17"/>
      <c r="G13" s="17"/>
    </row>
    <row r="14" spans="1:9" ht="12" customHeight="1" x14ac:dyDescent="0.2">
      <c r="B14" s="3"/>
      <c r="C14" s="3"/>
      <c r="E14" s="3"/>
      <c r="F14" s="45"/>
      <c r="G14" s="17"/>
      <c r="H14" s="10"/>
    </row>
    <row r="15" spans="1:9" x14ac:dyDescent="0.2">
      <c r="A15" s="3"/>
      <c r="C15" s="3"/>
      <c r="D15" s="3"/>
      <c r="E15" s="3"/>
      <c r="F15" s="17"/>
      <c r="G15" s="17"/>
      <c r="H15" s="10"/>
    </row>
    <row r="16" spans="1:9" x14ac:dyDescent="0.2">
      <c r="A16" s="3"/>
      <c r="B16" s="3"/>
      <c r="C16" s="3"/>
      <c r="D16" s="3"/>
      <c r="E16" s="3"/>
      <c r="F16" s="3"/>
      <c r="G16" s="17"/>
      <c r="H16" s="10"/>
    </row>
    <row r="17" spans="1:9" x14ac:dyDescent="0.2">
      <c r="A17" s="3"/>
      <c r="B17" s="3"/>
      <c r="C17" s="3"/>
      <c r="D17" s="3"/>
      <c r="E17" s="3"/>
      <c r="F17" s="3"/>
      <c r="G17" s="17"/>
      <c r="H17" s="10"/>
    </row>
    <row r="18" spans="1:9" x14ac:dyDescent="0.2">
      <c r="A18" s="24"/>
      <c r="B18" s="24"/>
      <c r="C18" s="24"/>
      <c r="D18" s="3"/>
      <c r="E18" s="18"/>
      <c r="F18" s="18"/>
      <c r="G18" s="18"/>
      <c r="H18" s="3"/>
      <c r="I18" s="11"/>
    </row>
    <row r="19" spans="1:9" x14ac:dyDescent="0.2">
      <c r="A19" s="24"/>
      <c r="B19" s="24"/>
      <c r="C19" s="24"/>
      <c r="D19" s="3"/>
      <c r="E19" s="18"/>
      <c r="F19" s="18"/>
      <c r="G19" s="18"/>
      <c r="H19" s="3"/>
      <c r="I19" s="11"/>
    </row>
    <row r="20" spans="1:9" x14ac:dyDescent="0.2">
      <c r="A20" s="24"/>
      <c r="B20" s="24"/>
      <c r="C20" s="24"/>
      <c r="D20" s="3"/>
      <c r="E20" s="3"/>
      <c r="F20" s="3"/>
      <c r="G20" s="3"/>
      <c r="H20" s="10"/>
    </row>
    <row r="21" spans="1:9" x14ac:dyDescent="0.2">
      <c r="A21" s="3"/>
      <c r="B21" s="3"/>
      <c r="C21" s="3"/>
      <c r="D21" s="3"/>
      <c r="E21" s="3"/>
      <c r="F21" s="3"/>
      <c r="G21" s="3"/>
      <c r="H21" s="10"/>
    </row>
    <row r="22" spans="1:9" x14ac:dyDescent="0.2">
      <c r="A22" s="3"/>
      <c r="B22" s="3"/>
      <c r="C22" s="3"/>
      <c r="D22" s="3"/>
      <c r="E22" s="3"/>
      <c r="F22" s="3"/>
      <c r="G22" s="3"/>
      <c r="H22" s="10"/>
    </row>
    <row r="23" spans="1:9" x14ac:dyDescent="0.2">
      <c r="A23" s="3"/>
      <c r="B23" s="3"/>
      <c r="C23" s="3"/>
      <c r="D23" s="3"/>
      <c r="E23" s="3"/>
      <c r="F23" s="3"/>
      <c r="G23" s="3"/>
      <c r="H23" s="10"/>
    </row>
    <row r="24" spans="1:9" x14ac:dyDescent="0.2">
      <c r="A24" s="3"/>
      <c r="B24" s="3"/>
      <c r="C24" s="3"/>
      <c r="D24" s="3"/>
      <c r="E24" s="3"/>
      <c r="F24" s="3"/>
      <c r="G24" s="3"/>
      <c r="H24" s="10"/>
    </row>
    <row r="25" spans="1:9" x14ac:dyDescent="0.2">
      <c r="A25" s="3"/>
      <c r="B25" s="3"/>
      <c r="C25" s="3"/>
      <c r="D25" s="3"/>
      <c r="E25" s="3"/>
      <c r="F25" s="3"/>
      <c r="G25" s="3"/>
      <c r="H25" s="10"/>
    </row>
    <row r="26" spans="1:9" x14ac:dyDescent="0.2">
      <c r="A26" s="3"/>
      <c r="B26" s="3"/>
      <c r="C26" s="3"/>
      <c r="D26" s="3"/>
      <c r="E26" s="3"/>
      <c r="F26" s="3"/>
      <c r="G26" s="3"/>
      <c r="H26" s="10"/>
    </row>
    <row r="27" spans="1:9" x14ac:dyDescent="0.2">
      <c r="A27" s="3"/>
      <c r="B27" s="3"/>
      <c r="C27" s="3"/>
      <c r="D27" s="3"/>
      <c r="E27" s="3"/>
      <c r="F27" s="3"/>
      <c r="G27" s="3"/>
    </row>
    <row r="28" spans="1:9" x14ac:dyDescent="0.2">
      <c r="A28" s="3"/>
      <c r="B28" s="3"/>
      <c r="C28" s="3"/>
      <c r="D28" s="3"/>
      <c r="E28" s="3"/>
      <c r="F28" s="3"/>
      <c r="G28" s="3"/>
    </row>
    <row r="29" spans="1:9" x14ac:dyDescent="0.2">
      <c r="A29" s="3"/>
      <c r="B29" s="3"/>
      <c r="C29" s="3"/>
      <c r="D29" s="3"/>
      <c r="E29" s="3"/>
      <c r="F29" s="3"/>
      <c r="G29" s="3"/>
    </row>
    <row r="30" spans="1:9" x14ac:dyDescent="0.2">
      <c r="A30" s="3"/>
      <c r="B30" s="3"/>
      <c r="C30" s="3"/>
      <c r="D30" s="3"/>
      <c r="E30" s="3"/>
      <c r="F30" s="3"/>
      <c r="G30" s="3"/>
    </row>
    <row r="31" spans="1:9" x14ac:dyDescent="0.2">
      <c r="A31" s="3"/>
      <c r="B31" s="3"/>
      <c r="C31" s="3"/>
      <c r="D31" s="3"/>
      <c r="E31" s="3"/>
      <c r="F31" s="3"/>
      <c r="G31" s="43"/>
    </row>
    <row r="32" spans="1:9" x14ac:dyDescent="0.2">
      <c r="A32" s="3"/>
      <c r="B32" s="3"/>
      <c r="C32" s="3"/>
      <c r="D32" s="3"/>
      <c r="E32" s="3"/>
      <c r="F32" s="3"/>
      <c r="G32" s="43"/>
    </row>
    <row r="33" spans="1:9" x14ac:dyDescent="0.2">
      <c r="A33" s="3"/>
      <c r="B33" s="3"/>
      <c r="C33" s="3"/>
      <c r="D33" s="3"/>
      <c r="E33" s="3"/>
      <c r="F33" s="3"/>
      <c r="G33" s="43"/>
    </row>
    <row r="34" spans="1:9" x14ac:dyDescent="0.2">
      <c r="A34" s="3"/>
      <c r="B34" s="3"/>
      <c r="C34" s="3"/>
      <c r="D34" s="3"/>
      <c r="E34" s="3"/>
      <c r="F34" s="3"/>
      <c r="G34" s="43"/>
    </row>
    <row r="35" spans="1:9" x14ac:dyDescent="0.2">
      <c r="A35" s="3"/>
      <c r="B35" s="3"/>
      <c r="C35" s="3"/>
      <c r="D35" s="3"/>
      <c r="E35" s="3"/>
      <c r="F35" s="3"/>
    </row>
    <row r="36" spans="1:9" x14ac:dyDescent="0.2">
      <c r="A36" s="3"/>
      <c r="B36" s="3"/>
      <c r="C36" s="3"/>
      <c r="D36" s="3"/>
      <c r="E36" s="3"/>
      <c r="F36" s="3"/>
      <c r="G36" s="43"/>
    </row>
    <row r="37" spans="1:9" x14ac:dyDescent="0.2">
      <c r="A37" s="3"/>
      <c r="B37" s="3"/>
      <c r="C37" s="3"/>
      <c r="D37" s="3"/>
      <c r="E37" s="3"/>
      <c r="F37" s="3"/>
      <c r="G37" s="43"/>
    </row>
    <row r="38" spans="1:9" s="11" customFormat="1" x14ac:dyDescent="0.2">
      <c r="A38" s="3"/>
      <c r="B38" s="3"/>
      <c r="C38" s="3"/>
      <c r="D38" s="3"/>
      <c r="E38" s="3"/>
      <c r="F38" s="3"/>
      <c r="G38" s="44"/>
      <c r="I38"/>
    </row>
    <row r="39" spans="1:9" s="11" customFormat="1" x14ac:dyDescent="0.2">
      <c r="A39" s="3"/>
      <c r="B39" s="3"/>
      <c r="C39" s="3"/>
      <c r="D39" s="3"/>
      <c r="E39" s="3"/>
      <c r="F39" s="3"/>
      <c r="G39" s="43"/>
      <c r="I39"/>
    </row>
    <row r="40" spans="1:9" s="11" customFormat="1" x14ac:dyDescent="0.2">
      <c r="A40" s="3"/>
      <c r="B40" s="3"/>
      <c r="C40" s="3"/>
      <c r="D40" s="3"/>
      <c r="E40" s="3"/>
      <c r="F40" s="3"/>
      <c r="I40"/>
    </row>
    <row r="41" spans="1:9" s="11" customFormat="1" x14ac:dyDescent="0.2">
      <c r="A41" s="3"/>
      <c r="B41" s="3"/>
      <c r="C41" s="3"/>
      <c r="D41" s="3"/>
      <c r="E41" s="3"/>
      <c r="F41" s="3"/>
      <c r="G41" s="43"/>
      <c r="I41"/>
    </row>
    <row r="42" spans="1:9" s="11" customFormat="1" x14ac:dyDescent="0.2">
      <c r="A42" s="3"/>
      <c r="B42" s="3"/>
      <c r="C42" s="3"/>
      <c r="D42" s="3"/>
      <c r="E42" s="3"/>
      <c r="F42" s="3"/>
      <c r="G42" s="43"/>
      <c r="I42"/>
    </row>
    <row r="43" spans="1:9" s="11" customFormat="1" x14ac:dyDescent="0.2">
      <c r="A43" s="3"/>
      <c r="B43" s="3"/>
      <c r="C43" s="3"/>
      <c r="D43" s="3"/>
      <c r="E43" s="3"/>
      <c r="F43" s="3"/>
      <c r="G43" s="43"/>
      <c r="I43"/>
    </row>
    <row r="44" spans="1:9" s="11" customFormat="1" x14ac:dyDescent="0.2">
      <c r="A44" s="3"/>
      <c r="B44" s="3"/>
      <c r="C44" s="3"/>
      <c r="D44" s="3"/>
      <c r="E44" s="3"/>
      <c r="F44" s="3"/>
      <c r="G44" s="43"/>
      <c r="I44"/>
    </row>
    <row r="45" spans="1:9" s="11" customFormat="1" x14ac:dyDescent="0.2">
      <c r="A45" s="3"/>
      <c r="B45" s="3"/>
      <c r="C45" s="3"/>
      <c r="D45" s="3"/>
      <c r="E45" s="3"/>
      <c r="F45" s="3"/>
      <c r="G45" s="43"/>
      <c r="I45"/>
    </row>
    <row r="46" spans="1:9" s="11" customFormat="1" x14ac:dyDescent="0.2">
      <c r="A46" s="3"/>
      <c r="B46" s="3"/>
      <c r="C46" s="3"/>
      <c r="D46" s="3"/>
      <c r="E46" s="3"/>
      <c r="F46" s="3"/>
      <c r="G46" s="43"/>
      <c r="I46"/>
    </row>
    <row r="47" spans="1:9" s="11" customFormat="1" x14ac:dyDescent="0.2">
      <c r="A47"/>
      <c r="B47"/>
      <c r="C47"/>
      <c r="D47"/>
      <c r="E47"/>
      <c r="F47"/>
      <c r="G47" s="44"/>
      <c r="I47"/>
    </row>
    <row r="53" spans="7:7" x14ac:dyDescent="0.2">
      <c r="G53" s="43" t="s">
        <v>379</v>
      </c>
    </row>
  </sheetData>
  <mergeCells count="1">
    <mergeCell ref="E6:F6"/>
  </mergeCells>
  <conditionalFormatting sqref="B12:B13">
    <cfRule type="cellIs" dxfId="3" priority="1" stopIfTrue="1" operator="equal">
      <formula>#REF!</formula>
    </cfRule>
  </conditionalFormatting>
  <pageMargins left="0.5" right="0.5" top="0.5" bottom="0.5" header="0.5" footer="0.5"/>
  <pageSetup firstPageNumber="2" fitToHeight="0" orientation="portrait"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421F7-FF53-4C59-8A0D-D0E67BA98746}">
  <sheetPr codeName="CofA10"/>
  <dimension ref="A1:I53"/>
  <sheetViews>
    <sheetView topLeftCell="A2" zoomScaleNormal="100" workbookViewId="0">
      <selection activeCell="G53" sqref="G53"/>
    </sheetView>
  </sheetViews>
  <sheetFormatPr defaultColWidth="2.7109375" defaultRowHeight="12.75" x14ac:dyDescent="0.2"/>
  <cols>
    <col min="1" max="1" width="18" customWidth="1"/>
    <col min="2" max="2" width="17.7109375" customWidth="1"/>
    <col min="3" max="3" width="14.140625" customWidth="1"/>
    <col min="4" max="4" width="15" customWidth="1"/>
    <col min="5" max="5" width="11.85546875" customWidth="1"/>
    <col min="6" max="6" width="8" customWidth="1"/>
    <col min="7" max="7" width="10.42578125" customWidth="1"/>
    <col min="8" max="8" width="12.140625" style="11" customWidth="1"/>
    <col min="9" max="9" width="10.140625" customWidth="1"/>
  </cols>
  <sheetData>
    <row r="1" spans="1:9" s="3" customFormat="1" ht="11.25" hidden="1" customHeight="1" x14ac:dyDescent="0.2">
      <c r="A1" s="3">
        <f ca="1">SheetNumber()</f>
        <v>11</v>
      </c>
      <c r="B1" s="3">
        <f ca="1">MATCH(INDEX(SampleID, A1), AnalysisSampleID, 0)</f>
        <v>16</v>
      </c>
      <c r="H1" s="10"/>
    </row>
    <row r="2" spans="1:9" s="3" customFormat="1" ht="61.5" customHeight="1" x14ac:dyDescent="0.2">
      <c r="H2" s="10"/>
    </row>
    <row r="3" spans="1:9" x14ac:dyDescent="0.2">
      <c r="A3" s="20" t="s">
        <v>4</v>
      </c>
      <c r="B3" s="22">
        <f ca="1">IF(ISERROR(INDEX(ReceivedDate,$A$1)), "", IF(ISBLANK(INDEX(ReceivedDate,$A$1)), "", INDEX(ReceivedDate,$A$1)))</f>
        <v>45569</v>
      </c>
      <c r="D3" s="20" t="s">
        <v>5</v>
      </c>
      <c r="E3" s="41" t="str">
        <f ca="1">IF(ISERROR(INDEX(Customer.Name,$A$1)), "", IF(ISBLANK(INDEX(Customer.Name,$A$1)), "", INDEX(Customer.Name,$A$1)))</f>
        <v>Big Valley</v>
      </c>
      <c r="F3" s="10"/>
      <c r="G3" s="3"/>
    </row>
    <row r="4" spans="1:9" ht="13.15" customHeight="1" x14ac:dyDescent="0.2">
      <c r="A4" s="20" t="s">
        <v>35</v>
      </c>
      <c r="B4" s="46">
        <f ca="1">IF(ISERROR(INDEX(ReceivedTime,$A$1)), "", IF(ISBLANK(INDEX(ReceivedTime,$A$1)), "", INDEX(ReceivedTime,$A$1)))</f>
        <v>0.38541666666666669</v>
      </c>
      <c r="C4" s="3"/>
      <c r="D4" s="20" t="s">
        <v>17</v>
      </c>
      <c r="E4" s="41" t="str">
        <f ca="1">IF(ISERROR(INDEX(Project.Name,$A$1)), "", IF(ISBLANK(INDEX(Project.Name,$A$1)), "", INDEX(Project.Name,$A$1)))</f>
        <v>HABs</v>
      </c>
    </row>
    <row r="5" spans="1:9" ht="12.75" customHeight="1" x14ac:dyDescent="0.2">
      <c r="A5" s="20" t="s">
        <v>36</v>
      </c>
      <c r="B5" s="22" t="str">
        <f ca="1">IF(ISERROR(INDEX(SampleType.Name,$A$1)), "", IF(ISBLANK(INDEX(SampleType.Name,$A$1)), "", INDEX(SampleType.Name,$A$1)))</f>
        <v>Water Grab</v>
      </c>
      <c r="C5" s="19"/>
      <c r="D5" s="20" t="s">
        <v>25</v>
      </c>
      <c r="E5" s="3" t="str">
        <f ca="1">IF(ISERROR(INDEX(Location.Name,$A$1)), "", IF(ISBLANK(INDEX(Location.Name,$A$1)), "", INDEX(Location.Name,$A$1)))</f>
        <v>GH</v>
      </c>
      <c r="F5" s="10"/>
      <c r="G5" s="3"/>
    </row>
    <row r="6" spans="1:9" ht="12.75" customHeight="1" x14ac:dyDescent="0.2">
      <c r="A6" s="20" t="s">
        <v>16</v>
      </c>
      <c r="B6" s="10" t="str">
        <f ca="1">IF(ISERROR(INDEX(Description,$A$1)), "", IF(ISBLANK(INDEX(Description,$A$1)), "", INDEX(Description,$A$1)))</f>
        <v>BV1316</v>
      </c>
      <c r="C6" s="46"/>
      <c r="D6" s="20" t="s">
        <v>9</v>
      </c>
      <c r="E6" s="65">
        <f ca="1">IF(ISERROR(INDEX(CollectedDateTime,$A$1)), "", IF(ISBLANK(INDEX(CollectedDateTime,$A$1)), "", INDEX(CollectedDateTime,$A$1)))</f>
        <v>45567.618750000001</v>
      </c>
      <c r="F6" s="65"/>
      <c r="G6" s="3"/>
    </row>
    <row r="7" spans="1:9" ht="12.75" customHeight="1" x14ac:dyDescent="0.2">
      <c r="A7" s="20" t="s">
        <v>24</v>
      </c>
      <c r="B7" s="21">
        <f ca="1">NOW()</f>
        <v>45580.517125694445</v>
      </c>
      <c r="C7" s="3"/>
      <c r="D7" s="11"/>
    </row>
    <row r="8" spans="1:9" ht="12.75" customHeight="1" x14ac:dyDescent="0.2">
      <c r="C8" s="3"/>
      <c r="D8" s="20" t="s">
        <v>13</v>
      </c>
      <c r="E8" s="10" t="str">
        <f ca="1">IF(ISERROR(INDEX(CustomerSampleID,$A$1)), "", IF(ISBLANK(INDEX(CustomerSampleID,$A$1)), "", INDEX(CustomerSampleID,$A$1)))</f>
        <v>2837</v>
      </c>
    </row>
    <row r="9" spans="1:9" ht="12.75" customHeight="1" x14ac:dyDescent="0.2">
      <c r="C9" s="3"/>
      <c r="F9" s="18"/>
      <c r="G9" s="23"/>
      <c r="H9" s="10"/>
    </row>
    <row r="10" spans="1:9" x14ac:dyDescent="0.2">
      <c r="A10" s="33" t="s">
        <v>33</v>
      </c>
      <c r="B10" s="3"/>
      <c r="C10" s="3"/>
      <c r="D10" s="3"/>
      <c r="F10" s="3"/>
      <c r="G10" s="3"/>
      <c r="H10" s="10"/>
    </row>
    <row r="11" spans="1:9" s="7" customFormat="1" ht="15.75" customHeight="1" x14ac:dyDescent="0.2">
      <c r="A11" s="50" t="s">
        <v>8</v>
      </c>
      <c r="B11" s="26" t="s">
        <v>14</v>
      </c>
      <c r="C11" s="26" t="s">
        <v>6</v>
      </c>
      <c r="D11" s="32" t="s">
        <v>39</v>
      </c>
      <c r="E11" s="26" t="s">
        <v>7</v>
      </c>
      <c r="F11" s="26" t="s">
        <v>31</v>
      </c>
      <c r="G11" s="58" t="s">
        <v>27</v>
      </c>
      <c r="I11" s="9"/>
    </row>
    <row r="12" spans="1:9" s="3" customFormat="1" ht="19.899999999999999" customHeight="1" x14ac:dyDescent="0.2">
      <c r="A12" s="17" t="str">
        <f ca="1">IF(ISBLANK(INDEX(Method.Name, ROW() - ROW(OneAnalysisResults) + $B$1)), "",INDEX(Method.Name, ROW() - ROW(OneAnalysisResults) + $B$1))</f>
        <v>QPCR</v>
      </c>
      <c r="B12" s="17" t="str">
        <f ca="1">IF(ISBLANK(INDEX(AnalyteReportName, ROW() - ROW(OneAnalysisResults) + $B$1)), "",INDEX(AnalyteReportName, ROW() - ROW(OneAnalysisResults) + $B$1))</f>
        <v>Microcystin</v>
      </c>
      <c r="C12" s="17" t="str">
        <f ca="1">IF(ISBLANK(INDEX(AnalysisResultFormatted, ROW() - ROW(OneAnalysisResults) + $B$1)), "",INDEX(AnalysisResultFormatted, ROW() - ROW(OneAnalysisResults) + $B$1))</f>
        <v>6,134</v>
      </c>
      <c r="D12" s="17">
        <f ca="1">IF(ISBLANK(INDEX(DilutionFactor, ROW() - ROW(OneAnalysisResults) + $B$1)), "",INDEX(DilutionFactor, ROW() - ROW(OneAnalysisResults) + $B$1))</f>
        <v>100</v>
      </c>
      <c r="E12" s="17" t="str">
        <f ca="1">IF(ISBLANK(INDEX(Abbreviation, ROW() - ROW(OneAnalysisResults) + $B$1)), "",INDEX(Abbreviation, ROW() - ROW(OneAnalysisResults) + $B$1))</f>
        <v>copies/mL</v>
      </c>
      <c r="F12" s="17"/>
      <c r="G12" s="17"/>
    </row>
    <row r="13" spans="1:9" s="3" customFormat="1" ht="19.899999999999999" customHeight="1" x14ac:dyDescent="0.2">
      <c r="A13" s="17"/>
      <c r="B13" s="17"/>
      <c r="C13" s="17"/>
      <c r="D13" s="17"/>
      <c r="E13" s="17"/>
      <c r="F13" s="17"/>
      <c r="G13" s="17"/>
    </row>
    <row r="14" spans="1:9" ht="12" customHeight="1" x14ac:dyDescent="0.2">
      <c r="B14" s="3"/>
      <c r="C14" s="3"/>
      <c r="E14" s="3"/>
      <c r="F14" s="45"/>
      <c r="G14" s="17"/>
      <c r="H14" s="10"/>
    </row>
    <row r="15" spans="1:9" x14ac:dyDescent="0.2">
      <c r="A15" s="3"/>
      <c r="C15" s="3"/>
      <c r="D15" s="3"/>
      <c r="E15" s="3"/>
      <c r="F15" s="17"/>
      <c r="G15" s="17"/>
      <c r="H15" s="10"/>
    </row>
    <row r="16" spans="1:9" x14ac:dyDescent="0.2">
      <c r="A16" s="3"/>
      <c r="B16" s="3"/>
      <c r="C16" s="3"/>
      <c r="D16" s="3"/>
      <c r="E16" s="3"/>
      <c r="F16" s="3"/>
      <c r="G16" s="17"/>
      <c r="H16" s="10"/>
    </row>
    <row r="17" spans="1:9" x14ac:dyDescent="0.2">
      <c r="A17" s="3"/>
      <c r="B17" s="3"/>
      <c r="C17" s="3"/>
      <c r="D17" s="3"/>
      <c r="E17" s="3"/>
      <c r="F17" s="3"/>
      <c r="G17" s="17"/>
      <c r="H17" s="10"/>
    </row>
    <row r="18" spans="1:9" x14ac:dyDescent="0.2">
      <c r="A18" s="24"/>
      <c r="B18" s="24"/>
      <c r="C18" s="24"/>
      <c r="D18" s="3"/>
      <c r="E18" s="18"/>
      <c r="F18" s="18"/>
      <c r="G18" s="18"/>
      <c r="H18" s="3"/>
      <c r="I18" s="11"/>
    </row>
    <row r="19" spans="1:9" x14ac:dyDescent="0.2">
      <c r="A19" s="24"/>
      <c r="B19" s="24"/>
      <c r="C19" s="24"/>
      <c r="D19" s="3"/>
      <c r="E19" s="18"/>
      <c r="F19" s="18"/>
      <c r="G19" s="18"/>
      <c r="H19" s="3"/>
      <c r="I19" s="11"/>
    </row>
    <row r="20" spans="1:9" x14ac:dyDescent="0.2">
      <c r="A20" s="24"/>
      <c r="B20" s="24"/>
      <c r="C20" s="24"/>
      <c r="D20" s="3"/>
      <c r="E20" s="3"/>
      <c r="F20" s="3"/>
      <c r="G20" s="3"/>
      <c r="H20" s="10"/>
    </row>
    <row r="21" spans="1:9" x14ac:dyDescent="0.2">
      <c r="A21" s="3"/>
      <c r="B21" s="3"/>
      <c r="C21" s="3"/>
      <c r="D21" s="3"/>
      <c r="E21" s="3"/>
      <c r="F21" s="3"/>
      <c r="G21" s="3"/>
      <c r="H21" s="10"/>
    </row>
    <row r="22" spans="1:9" x14ac:dyDescent="0.2">
      <c r="A22" s="3"/>
      <c r="B22" s="3"/>
      <c r="C22" s="3"/>
      <c r="D22" s="3"/>
      <c r="E22" s="3"/>
      <c r="F22" s="3"/>
      <c r="G22" s="3"/>
      <c r="H22" s="10"/>
    </row>
    <row r="23" spans="1:9" x14ac:dyDescent="0.2">
      <c r="A23" s="3"/>
      <c r="B23" s="3"/>
      <c r="C23" s="3"/>
      <c r="D23" s="3"/>
      <c r="E23" s="3"/>
      <c r="F23" s="3"/>
      <c r="G23" s="3"/>
      <c r="H23" s="10"/>
    </row>
    <row r="24" spans="1:9" x14ac:dyDescent="0.2">
      <c r="A24" s="3"/>
      <c r="B24" s="3"/>
      <c r="C24" s="3"/>
      <c r="D24" s="3"/>
      <c r="E24" s="3"/>
      <c r="F24" s="3"/>
      <c r="G24" s="3"/>
      <c r="H24" s="10"/>
    </row>
    <row r="25" spans="1:9" x14ac:dyDescent="0.2">
      <c r="A25" s="3"/>
      <c r="B25" s="3"/>
      <c r="C25" s="3"/>
      <c r="D25" s="3"/>
      <c r="E25" s="3"/>
      <c r="F25" s="3"/>
      <c r="G25" s="3"/>
      <c r="H25" s="10"/>
    </row>
    <row r="26" spans="1:9" x14ac:dyDescent="0.2">
      <c r="A26" s="3"/>
      <c r="B26" s="3"/>
      <c r="C26" s="3"/>
      <c r="D26" s="3"/>
      <c r="E26" s="3"/>
      <c r="F26" s="3"/>
      <c r="G26" s="3"/>
      <c r="H26" s="10"/>
    </row>
    <row r="27" spans="1:9" x14ac:dyDescent="0.2">
      <c r="A27" s="3"/>
      <c r="B27" s="3"/>
      <c r="C27" s="3"/>
      <c r="D27" s="3"/>
      <c r="E27" s="3"/>
      <c r="F27" s="3"/>
      <c r="G27" s="3"/>
    </row>
    <row r="28" spans="1:9" x14ac:dyDescent="0.2">
      <c r="A28" s="3"/>
      <c r="B28" s="3"/>
      <c r="C28" s="3"/>
      <c r="D28" s="3"/>
      <c r="E28" s="3"/>
      <c r="F28" s="3"/>
      <c r="G28" s="3"/>
    </row>
    <row r="29" spans="1:9" x14ac:dyDescent="0.2">
      <c r="A29" s="3"/>
      <c r="B29" s="3"/>
      <c r="C29" s="3"/>
      <c r="D29" s="3"/>
      <c r="E29" s="3"/>
      <c r="F29" s="3"/>
      <c r="G29" s="3"/>
    </row>
    <row r="30" spans="1:9" x14ac:dyDescent="0.2">
      <c r="A30" s="3"/>
      <c r="B30" s="3"/>
      <c r="C30" s="3"/>
      <c r="D30" s="3"/>
      <c r="E30" s="3"/>
      <c r="F30" s="3"/>
      <c r="G30" s="3"/>
    </row>
    <row r="31" spans="1:9" x14ac:dyDescent="0.2">
      <c r="A31" s="3"/>
      <c r="B31" s="3"/>
      <c r="C31" s="3"/>
      <c r="D31" s="3"/>
      <c r="E31" s="3"/>
      <c r="F31" s="3"/>
      <c r="G31" s="43"/>
    </row>
    <row r="32" spans="1:9" x14ac:dyDescent="0.2">
      <c r="A32" s="3"/>
      <c r="B32" s="3"/>
      <c r="C32" s="3"/>
      <c r="D32" s="3"/>
      <c r="E32" s="3"/>
      <c r="F32" s="3"/>
      <c r="G32" s="43"/>
    </row>
    <row r="33" spans="1:9" x14ac:dyDescent="0.2">
      <c r="A33" s="3"/>
      <c r="B33" s="3"/>
      <c r="C33" s="3"/>
      <c r="D33" s="3"/>
      <c r="E33" s="3"/>
      <c r="F33" s="3"/>
      <c r="G33" s="43"/>
    </row>
    <row r="34" spans="1:9" x14ac:dyDescent="0.2">
      <c r="A34" s="3"/>
      <c r="B34" s="3"/>
      <c r="C34" s="3"/>
      <c r="D34" s="3"/>
      <c r="E34" s="3"/>
      <c r="F34" s="3"/>
      <c r="G34" s="43"/>
    </row>
    <row r="35" spans="1:9" x14ac:dyDescent="0.2">
      <c r="A35" s="3"/>
      <c r="B35" s="3"/>
      <c r="C35" s="3"/>
      <c r="D35" s="3"/>
      <c r="E35" s="3"/>
      <c r="F35" s="3"/>
    </row>
    <row r="36" spans="1:9" x14ac:dyDescent="0.2">
      <c r="A36" s="3"/>
      <c r="B36" s="3"/>
      <c r="C36" s="3"/>
      <c r="D36" s="3"/>
      <c r="E36" s="3"/>
      <c r="F36" s="3"/>
      <c r="G36" s="43"/>
    </row>
    <row r="37" spans="1:9" x14ac:dyDescent="0.2">
      <c r="A37" s="3"/>
      <c r="B37" s="3"/>
      <c r="C37" s="3"/>
      <c r="D37" s="3"/>
      <c r="E37" s="3"/>
      <c r="F37" s="3"/>
      <c r="G37" s="43"/>
    </row>
    <row r="38" spans="1:9" s="11" customFormat="1" x14ac:dyDescent="0.2">
      <c r="A38" s="3"/>
      <c r="B38" s="3"/>
      <c r="C38" s="3"/>
      <c r="D38" s="3"/>
      <c r="E38" s="3"/>
      <c r="F38" s="3"/>
      <c r="G38" s="44"/>
      <c r="I38"/>
    </row>
    <row r="39" spans="1:9" s="11" customFormat="1" x14ac:dyDescent="0.2">
      <c r="A39" s="3"/>
      <c r="B39" s="3"/>
      <c r="C39" s="3"/>
      <c r="D39" s="3"/>
      <c r="E39" s="3"/>
      <c r="F39" s="3"/>
      <c r="G39" s="43"/>
      <c r="I39"/>
    </row>
    <row r="40" spans="1:9" s="11" customFormat="1" x14ac:dyDescent="0.2">
      <c r="A40" s="3"/>
      <c r="B40" s="3"/>
      <c r="C40" s="3"/>
      <c r="D40" s="3"/>
      <c r="E40" s="3"/>
      <c r="F40" s="3"/>
      <c r="I40"/>
    </row>
    <row r="41" spans="1:9" s="11" customFormat="1" x14ac:dyDescent="0.2">
      <c r="A41" s="3"/>
      <c r="B41" s="3"/>
      <c r="C41" s="3"/>
      <c r="D41" s="3"/>
      <c r="E41" s="3"/>
      <c r="F41" s="3"/>
      <c r="G41" s="43"/>
      <c r="I41"/>
    </row>
    <row r="42" spans="1:9" s="11" customFormat="1" x14ac:dyDescent="0.2">
      <c r="A42" s="3"/>
      <c r="B42" s="3"/>
      <c r="C42" s="3"/>
      <c r="D42" s="3"/>
      <c r="E42" s="3"/>
      <c r="F42" s="3"/>
      <c r="G42" s="43"/>
      <c r="I42"/>
    </row>
    <row r="43" spans="1:9" s="11" customFormat="1" x14ac:dyDescent="0.2">
      <c r="A43" s="3"/>
      <c r="B43" s="3"/>
      <c r="C43" s="3"/>
      <c r="D43" s="3"/>
      <c r="E43" s="3"/>
      <c r="F43" s="3"/>
      <c r="G43" s="43"/>
      <c r="I43"/>
    </row>
    <row r="44" spans="1:9" s="11" customFormat="1" x14ac:dyDescent="0.2">
      <c r="A44" s="3"/>
      <c r="B44" s="3"/>
      <c r="C44" s="3"/>
      <c r="D44" s="3"/>
      <c r="E44" s="3"/>
      <c r="F44" s="3"/>
      <c r="G44" s="43"/>
      <c r="I44"/>
    </row>
    <row r="45" spans="1:9" s="11" customFormat="1" x14ac:dyDescent="0.2">
      <c r="A45" s="3"/>
      <c r="B45" s="3"/>
      <c r="C45" s="3"/>
      <c r="D45" s="3"/>
      <c r="E45" s="3"/>
      <c r="F45" s="3"/>
      <c r="G45" s="43"/>
      <c r="I45"/>
    </row>
    <row r="46" spans="1:9" s="11" customFormat="1" x14ac:dyDescent="0.2">
      <c r="A46" s="3"/>
      <c r="B46" s="3"/>
      <c r="C46" s="3"/>
      <c r="D46" s="3"/>
      <c r="E46" s="3"/>
      <c r="F46" s="3"/>
      <c r="G46" s="43"/>
      <c r="I46"/>
    </row>
    <row r="47" spans="1:9" s="11" customFormat="1" x14ac:dyDescent="0.2">
      <c r="A47"/>
      <c r="B47"/>
      <c r="C47"/>
      <c r="D47"/>
      <c r="E47"/>
      <c r="F47"/>
      <c r="G47" s="44"/>
      <c r="I47"/>
    </row>
    <row r="53" spans="7:7" x14ac:dyDescent="0.2">
      <c r="G53" s="43" t="s">
        <v>380</v>
      </c>
    </row>
  </sheetData>
  <mergeCells count="1">
    <mergeCell ref="E6:F6"/>
  </mergeCells>
  <conditionalFormatting sqref="B12:B13">
    <cfRule type="cellIs" dxfId="2" priority="1" stopIfTrue="1" operator="equal">
      <formula>#REF!</formula>
    </cfRule>
  </conditionalFormatting>
  <pageMargins left="0.5" right="0.5" top="0.5" bottom="0.5" header="0.5" footer="0.5"/>
  <pageSetup firstPageNumber="2" fitToHeight="0" orientation="portrait"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93213-A81D-40AE-B9A6-2E7A21D4D748}">
  <sheetPr codeName="CofA11"/>
  <dimension ref="A1:I53"/>
  <sheetViews>
    <sheetView topLeftCell="A2" zoomScaleNormal="100" workbookViewId="0">
      <selection activeCell="C19" sqref="C19"/>
    </sheetView>
  </sheetViews>
  <sheetFormatPr defaultColWidth="2.7109375" defaultRowHeight="12.75" x14ac:dyDescent="0.2"/>
  <cols>
    <col min="1" max="1" width="18" customWidth="1"/>
    <col min="2" max="2" width="17.7109375" customWidth="1"/>
    <col min="3" max="3" width="14.140625" customWidth="1"/>
    <col min="4" max="4" width="15" customWidth="1"/>
    <col min="5" max="5" width="11.85546875" customWidth="1"/>
    <col min="6" max="6" width="8" customWidth="1"/>
    <col min="7" max="7" width="10.42578125" customWidth="1"/>
    <col min="8" max="8" width="12.140625" style="11" customWidth="1"/>
    <col min="9" max="9" width="10.140625" customWidth="1"/>
  </cols>
  <sheetData>
    <row r="1" spans="1:9" s="3" customFormat="1" ht="11.25" hidden="1" customHeight="1" x14ac:dyDescent="0.2">
      <c r="A1" s="3">
        <f ca="1">SheetNumber()</f>
        <v>12</v>
      </c>
      <c r="B1" s="3">
        <f ca="1">MATCH(INDEX(SampleID, A1), AnalysisSampleID, 0)</f>
        <v>17</v>
      </c>
      <c r="H1" s="10"/>
    </row>
    <row r="2" spans="1:9" s="3" customFormat="1" ht="61.5" customHeight="1" x14ac:dyDescent="0.2">
      <c r="H2" s="10"/>
    </row>
    <row r="3" spans="1:9" x14ac:dyDescent="0.2">
      <c r="A3" s="20" t="s">
        <v>4</v>
      </c>
      <c r="B3" s="22">
        <f ca="1">IF(ISERROR(INDEX(ReceivedDate,$A$1)), "", IF(ISBLANK(INDEX(ReceivedDate,$A$1)), "", INDEX(ReceivedDate,$A$1)))</f>
        <v>45569</v>
      </c>
      <c r="D3" s="20" t="s">
        <v>5</v>
      </c>
      <c r="E3" s="41" t="str">
        <f ca="1">IF(ISERROR(INDEX(Customer.Name,$A$1)), "", IF(ISBLANK(INDEX(Customer.Name,$A$1)), "", INDEX(Customer.Name,$A$1)))</f>
        <v>Big Valley</v>
      </c>
      <c r="F3" s="10"/>
      <c r="G3" s="3"/>
    </row>
    <row r="4" spans="1:9" ht="13.15" customHeight="1" x14ac:dyDescent="0.2">
      <c r="A4" s="20" t="s">
        <v>35</v>
      </c>
      <c r="B4" s="46">
        <f ca="1">IF(ISERROR(INDEX(ReceivedTime,$A$1)), "", IF(ISBLANK(INDEX(ReceivedTime,$A$1)), "", INDEX(ReceivedTime,$A$1)))</f>
        <v>0.38541666666666669</v>
      </c>
      <c r="C4" s="3"/>
      <c r="D4" s="20" t="s">
        <v>17</v>
      </c>
      <c r="E4" s="41" t="str">
        <f ca="1">IF(ISERROR(INDEX(Project.Name,$A$1)), "", IF(ISBLANK(INDEX(Project.Name,$A$1)), "", INDEX(Project.Name,$A$1)))</f>
        <v>HABs</v>
      </c>
    </row>
    <row r="5" spans="1:9" ht="12.75" customHeight="1" x14ac:dyDescent="0.2">
      <c r="A5" s="20" t="s">
        <v>36</v>
      </c>
      <c r="B5" s="22" t="str">
        <f ca="1">IF(ISERROR(INDEX(SampleType.Name,$A$1)), "", IF(ISBLANK(INDEX(SampleType.Name,$A$1)), "", INDEX(SampleType.Name,$A$1)))</f>
        <v>Water Grab</v>
      </c>
      <c r="C5" s="19"/>
      <c r="D5" s="20" t="s">
        <v>25</v>
      </c>
      <c r="E5" s="3" t="str">
        <f ca="1">IF(ISERROR(INDEX(Location.Name,$A$1)), "", IF(ISBLANK(INDEX(Location.Name,$A$1)), "", INDEX(Location.Name,$A$1)))</f>
        <v>LPTNT</v>
      </c>
      <c r="F5" s="10"/>
      <c r="G5" s="3"/>
    </row>
    <row r="6" spans="1:9" ht="12.75" customHeight="1" x14ac:dyDescent="0.2">
      <c r="A6" s="20" t="s">
        <v>16</v>
      </c>
      <c r="B6" s="10" t="str">
        <f ca="1">IF(ISERROR(INDEX(Description,$A$1)), "", IF(ISBLANK(INDEX(Description,$A$1)), "", INDEX(Description,$A$1)))</f>
        <v>BV1317</v>
      </c>
      <c r="C6" s="46"/>
      <c r="D6" s="20" t="s">
        <v>9</v>
      </c>
      <c r="E6" s="65">
        <f ca="1">IF(ISERROR(INDEX(CollectedDateTime,$A$1)), "", IF(ISBLANK(INDEX(CollectedDateTime,$A$1)), "", INDEX(CollectedDateTime,$A$1)))</f>
        <v>45567.670138888891</v>
      </c>
      <c r="F6" s="65"/>
      <c r="G6" s="3"/>
    </row>
    <row r="7" spans="1:9" ht="12.75" customHeight="1" x14ac:dyDescent="0.2">
      <c r="A7" s="20" t="s">
        <v>24</v>
      </c>
      <c r="B7" s="21">
        <f ca="1">NOW()</f>
        <v>45580.517125694445</v>
      </c>
      <c r="C7" s="3"/>
      <c r="D7" s="11"/>
    </row>
    <row r="8" spans="1:9" ht="12.75" customHeight="1" x14ac:dyDescent="0.2">
      <c r="C8" s="3"/>
      <c r="D8" s="20" t="s">
        <v>13</v>
      </c>
      <c r="E8" s="10" t="str">
        <f ca="1">IF(ISERROR(INDEX(CustomerSampleID,$A$1)), "", IF(ISBLANK(INDEX(CustomerSampleID,$A$1)), "", INDEX(CustomerSampleID,$A$1)))</f>
        <v>2838</v>
      </c>
    </row>
    <row r="9" spans="1:9" ht="12.75" customHeight="1" x14ac:dyDescent="0.2">
      <c r="C9" s="3"/>
      <c r="F9" s="18"/>
      <c r="G9" s="23"/>
      <c r="H9" s="10"/>
    </row>
    <row r="10" spans="1:9" x14ac:dyDescent="0.2">
      <c r="A10" s="33" t="s">
        <v>33</v>
      </c>
      <c r="B10" s="3"/>
      <c r="C10" s="3"/>
      <c r="D10" s="3"/>
      <c r="F10" s="3"/>
      <c r="G10" s="3"/>
      <c r="H10" s="10"/>
    </row>
    <row r="11" spans="1:9" s="7" customFormat="1" ht="15.75" customHeight="1" x14ac:dyDescent="0.2">
      <c r="A11" s="50" t="s">
        <v>8</v>
      </c>
      <c r="B11" s="26" t="s">
        <v>14</v>
      </c>
      <c r="C11" s="26" t="s">
        <v>6</v>
      </c>
      <c r="D11" s="32" t="s">
        <v>39</v>
      </c>
      <c r="E11" s="26" t="s">
        <v>7</v>
      </c>
      <c r="F11" s="26" t="s">
        <v>31</v>
      </c>
      <c r="G11" s="58" t="s">
        <v>27</v>
      </c>
      <c r="I11" s="9"/>
    </row>
    <row r="12" spans="1:9" s="3" customFormat="1" ht="19.899999999999999" customHeight="1" x14ac:dyDescent="0.2">
      <c r="A12" s="17" t="str">
        <f ca="1">IF(ISBLANK(INDEX(Method.Name, ROW() - ROW(OneAnalysisResults) + $B$1)), "",INDEX(Method.Name, ROW() - ROW(OneAnalysisResults) + $B$1))</f>
        <v>ELISA</v>
      </c>
      <c r="B12" s="17" t="str">
        <f ca="1">IF(ISBLANK(INDEX(AnalyteReportName, ROW() - ROW(OneAnalysisResults) + $B$1)), "",INDEX(AnalyteReportName, ROW() - ROW(OneAnalysisResults) + $B$1))</f>
        <v>Microcystin/Nod.</v>
      </c>
      <c r="C12" s="17" t="str">
        <f ca="1">IF(ISBLANK(INDEX(AnalysisResultFormatted, ROW() - ROW(OneAnalysisResults) + $B$1)), "",INDEX(AnalysisResultFormatted, ROW() - ROW(OneAnalysisResults) + $B$1))</f>
        <v>ND</v>
      </c>
      <c r="D12" s="17">
        <f ca="1">IF(ISBLANK(INDEX(DilutionFactor, ROW() - ROW(OneAnalysisResults) + $B$1)), "",INDEX(DilutionFactor, ROW() - ROW(OneAnalysisResults) + $B$1))</f>
        <v>0.15</v>
      </c>
      <c r="E12" s="17" t="str">
        <f ca="1">IF(ISBLANK(INDEX(Abbreviation, ROW() - ROW(OneAnalysisResults) + $B$1)), "",INDEX(Abbreviation, ROW() - ROW(OneAnalysisResults) + $B$1))</f>
        <v>μg/L</v>
      </c>
      <c r="F12" s="17" t="s">
        <v>22</v>
      </c>
      <c r="G12" s="17">
        <v>1</v>
      </c>
    </row>
    <row r="13" spans="1:9" s="3" customFormat="1" ht="19.899999999999999" customHeight="1" x14ac:dyDescent="0.2">
      <c r="A13" s="17" t="str">
        <f ca="1">IF(ISBLANK(INDEX(Method.Name, ROW() - ROW(OneAnalysisResults) + $B$1)), "",INDEX(Method.Name, ROW() - ROW(OneAnalysisResults) + $B$1))</f>
        <v>QPCR</v>
      </c>
      <c r="B13" s="17" t="str">
        <f ca="1">IF(ISBLANK(INDEX(AnalyteReportName, ROW() - ROW(OneAnalysisResults) + $B$1)), "",INDEX(AnalyteReportName, ROW() - ROW(OneAnalysisResults) + $B$1))</f>
        <v>Saxitoxin</v>
      </c>
      <c r="C13" s="17" t="str">
        <f ca="1">IF(ISBLANK(INDEX(AnalysisResultFormatted, ROW() - ROW(OneAnalysisResults) + $B$1)), "",INDEX(AnalysisResultFormatted, ROW() - ROW(OneAnalysisResults) + $B$1))</f>
        <v>ND</v>
      </c>
      <c r="D13" s="17">
        <f ca="1">IF(ISBLANK(INDEX(DilutionFactor, ROW() - ROW(OneAnalysisResults) + $B$1)), "",INDEX(DilutionFactor, ROW() - ROW(OneAnalysisResults) + $B$1))</f>
        <v>100</v>
      </c>
      <c r="E13" s="17" t="str">
        <f ca="1">IF(ISBLANK(INDEX(Abbreviation, ROW() - ROW(OneAnalysisResults) + $B$1)), "",INDEX(Abbreviation, ROW() - ROW(OneAnalysisResults) + $B$1))</f>
        <v>copies/mL</v>
      </c>
      <c r="F13" s="17" t="s">
        <v>22</v>
      </c>
      <c r="G13" s="17"/>
    </row>
    <row r="14" spans="1:9" s="3" customFormat="1" ht="19.899999999999999" customHeight="1" x14ac:dyDescent="0.2">
      <c r="A14" s="17"/>
      <c r="B14" s="17"/>
      <c r="C14" s="17"/>
      <c r="D14" s="17"/>
      <c r="E14" s="17"/>
      <c r="F14" s="17"/>
      <c r="G14" s="17"/>
    </row>
    <row r="15" spans="1:9" ht="12" customHeight="1" x14ac:dyDescent="0.2">
      <c r="B15" s="3"/>
      <c r="C15" s="3"/>
      <c r="E15" s="3"/>
      <c r="F15" s="45"/>
      <c r="G15" s="17"/>
      <c r="H15" s="10"/>
    </row>
    <row r="16" spans="1:9" x14ac:dyDescent="0.2">
      <c r="A16" s="3"/>
      <c r="C16" s="3"/>
      <c r="D16" s="3"/>
      <c r="E16" s="3"/>
      <c r="F16" s="17"/>
      <c r="G16" s="17"/>
      <c r="H16" s="10"/>
    </row>
    <row r="17" spans="1:9" x14ac:dyDescent="0.2">
      <c r="A17" s="3"/>
      <c r="B17" s="3"/>
      <c r="C17" s="3"/>
      <c r="D17" s="3"/>
      <c r="E17" s="3"/>
      <c r="F17" s="3"/>
      <c r="G17" s="17"/>
      <c r="H17" s="10"/>
    </row>
    <row r="18" spans="1:9" x14ac:dyDescent="0.2">
      <c r="A18" s="3"/>
      <c r="B18" s="3"/>
      <c r="C18" s="3"/>
      <c r="D18" s="3"/>
      <c r="E18" s="3"/>
      <c r="F18" s="3"/>
      <c r="G18" s="17"/>
      <c r="H18" s="10"/>
    </row>
    <row r="19" spans="1:9" x14ac:dyDescent="0.2">
      <c r="A19" s="3"/>
      <c r="B19" s="3"/>
      <c r="C19" s="3"/>
      <c r="D19" s="3"/>
      <c r="E19" s="3"/>
      <c r="F19" s="3"/>
      <c r="G19" s="17"/>
      <c r="H19" s="10"/>
    </row>
    <row r="20" spans="1:9" x14ac:dyDescent="0.2">
      <c r="A20" s="24"/>
      <c r="B20" s="24"/>
      <c r="C20" s="24"/>
      <c r="D20" s="3"/>
      <c r="E20" s="18"/>
      <c r="F20" s="18"/>
      <c r="G20" s="18"/>
      <c r="H20" s="3"/>
      <c r="I20" s="11"/>
    </row>
    <row r="21" spans="1:9" x14ac:dyDescent="0.2">
      <c r="A21" s="24"/>
      <c r="B21" s="24"/>
      <c r="C21" s="24"/>
      <c r="D21" s="3"/>
      <c r="E21" s="18"/>
      <c r="F21" s="18"/>
      <c r="G21" s="18"/>
      <c r="H21" s="3"/>
      <c r="I21" s="11"/>
    </row>
    <row r="22" spans="1:9" x14ac:dyDescent="0.2">
      <c r="A22" s="24"/>
      <c r="B22" s="24"/>
      <c r="C22" s="24"/>
      <c r="D22" s="3"/>
      <c r="E22" s="3"/>
      <c r="F22" s="3"/>
      <c r="G22" s="3"/>
      <c r="H22" s="10"/>
    </row>
    <row r="23" spans="1:9" x14ac:dyDescent="0.2">
      <c r="A23" s="3"/>
      <c r="B23" s="3"/>
      <c r="C23" s="3"/>
      <c r="D23" s="3"/>
      <c r="E23" s="3"/>
      <c r="F23" s="3"/>
      <c r="G23" s="3"/>
      <c r="H23" s="10"/>
    </row>
    <row r="24" spans="1:9" x14ac:dyDescent="0.2">
      <c r="A24" s="3"/>
      <c r="B24" s="3"/>
      <c r="C24" s="3"/>
      <c r="D24" s="3"/>
      <c r="E24" s="3"/>
      <c r="F24" s="3"/>
      <c r="G24" s="3"/>
      <c r="H24" s="10"/>
    </row>
    <row r="25" spans="1:9" x14ac:dyDescent="0.2">
      <c r="A25" s="3"/>
      <c r="B25" s="3"/>
      <c r="C25" s="3"/>
      <c r="D25" s="3"/>
      <c r="E25" s="3"/>
      <c r="F25" s="3"/>
      <c r="G25" s="3"/>
      <c r="H25" s="10"/>
    </row>
    <row r="26" spans="1:9" x14ac:dyDescent="0.2">
      <c r="A26" s="3"/>
      <c r="B26" s="3"/>
      <c r="C26" s="3"/>
      <c r="D26" s="3"/>
      <c r="E26" s="3"/>
      <c r="F26" s="3"/>
      <c r="G26" s="3"/>
      <c r="H26" s="10"/>
    </row>
    <row r="27" spans="1:9" x14ac:dyDescent="0.2">
      <c r="A27" s="3"/>
      <c r="B27" s="3"/>
      <c r="C27" s="3"/>
      <c r="D27" s="3"/>
      <c r="E27" s="3"/>
      <c r="F27" s="3"/>
      <c r="G27" s="3"/>
      <c r="H27" s="10"/>
    </row>
    <row r="28" spans="1:9" x14ac:dyDescent="0.2">
      <c r="A28" s="3"/>
      <c r="B28" s="3"/>
      <c r="C28" s="3"/>
      <c r="D28" s="3"/>
      <c r="E28" s="3"/>
      <c r="F28" s="3"/>
      <c r="G28" s="3"/>
      <c r="H28" s="10"/>
    </row>
    <row r="29" spans="1:9" x14ac:dyDescent="0.2">
      <c r="A29" s="3"/>
      <c r="B29" s="3"/>
      <c r="C29" s="3"/>
      <c r="D29" s="3"/>
      <c r="E29" s="3"/>
      <c r="F29" s="3"/>
      <c r="G29" s="3"/>
    </row>
    <row r="30" spans="1:9" x14ac:dyDescent="0.2">
      <c r="A30" s="3"/>
      <c r="B30" s="3"/>
      <c r="C30" s="3"/>
      <c r="D30" s="3"/>
      <c r="E30" s="3"/>
      <c r="F30" s="3"/>
      <c r="G30" s="3"/>
    </row>
    <row r="31" spans="1:9" x14ac:dyDescent="0.2">
      <c r="A31" s="3"/>
      <c r="B31" s="3"/>
      <c r="C31" s="3"/>
      <c r="D31" s="3"/>
      <c r="E31" s="3"/>
      <c r="F31" s="3"/>
      <c r="G31" s="3"/>
    </row>
    <row r="32" spans="1:9" x14ac:dyDescent="0.2">
      <c r="A32" s="3"/>
      <c r="B32" s="3"/>
      <c r="C32" s="3"/>
      <c r="D32" s="3"/>
      <c r="E32" s="3"/>
      <c r="F32" s="3"/>
      <c r="G32" s="3"/>
    </row>
    <row r="33" spans="1:9" x14ac:dyDescent="0.2">
      <c r="A33" s="3"/>
      <c r="B33" s="3"/>
      <c r="C33" s="3"/>
      <c r="D33" s="3"/>
      <c r="E33" s="3"/>
      <c r="F33" s="3"/>
      <c r="G33" s="43"/>
    </row>
    <row r="34" spans="1:9" x14ac:dyDescent="0.2">
      <c r="A34" s="3"/>
      <c r="B34" s="3"/>
      <c r="C34" s="3"/>
      <c r="D34" s="3"/>
      <c r="E34" s="3"/>
      <c r="F34" s="3"/>
      <c r="G34" s="43"/>
    </row>
    <row r="35" spans="1:9" x14ac:dyDescent="0.2">
      <c r="A35" s="3"/>
      <c r="B35" s="3"/>
      <c r="C35" s="3"/>
      <c r="D35" s="3"/>
      <c r="E35" s="3"/>
      <c r="F35" s="3"/>
      <c r="G35" s="43"/>
    </row>
    <row r="36" spans="1:9" x14ac:dyDescent="0.2">
      <c r="A36" s="3"/>
      <c r="B36" s="3"/>
      <c r="C36" s="3"/>
      <c r="D36" s="3"/>
      <c r="E36" s="3"/>
      <c r="F36" s="3"/>
      <c r="G36" s="43"/>
    </row>
    <row r="37" spans="1:9" x14ac:dyDescent="0.2">
      <c r="A37" s="3"/>
      <c r="B37" s="3"/>
      <c r="C37" s="3"/>
      <c r="D37" s="3"/>
      <c r="E37" s="3"/>
      <c r="F37" s="3"/>
    </row>
    <row r="38" spans="1:9" x14ac:dyDescent="0.2">
      <c r="A38" s="3"/>
      <c r="B38" s="3"/>
      <c r="C38" s="3"/>
      <c r="D38" s="3"/>
      <c r="E38" s="3"/>
      <c r="F38" s="3"/>
      <c r="G38" s="43"/>
    </row>
    <row r="39" spans="1:9" x14ac:dyDescent="0.2">
      <c r="A39" s="3"/>
      <c r="B39" s="3"/>
      <c r="C39" s="3"/>
      <c r="D39" s="3"/>
      <c r="E39" s="3"/>
      <c r="F39" s="3"/>
      <c r="G39" s="43"/>
    </row>
    <row r="40" spans="1:9" s="11" customFormat="1" x14ac:dyDescent="0.2">
      <c r="A40" s="3"/>
      <c r="B40" s="3"/>
      <c r="C40" s="3"/>
      <c r="D40" s="3"/>
      <c r="E40" s="3"/>
      <c r="F40" s="3"/>
      <c r="G40" s="44"/>
      <c r="I40"/>
    </row>
    <row r="41" spans="1:9" s="11" customFormat="1" x14ac:dyDescent="0.2">
      <c r="A41" s="3"/>
      <c r="B41" s="3"/>
      <c r="C41" s="3"/>
      <c r="D41" s="3"/>
      <c r="E41" s="3"/>
      <c r="F41" s="3"/>
      <c r="G41" s="43"/>
      <c r="I41"/>
    </row>
    <row r="42" spans="1:9" s="11" customFormat="1" x14ac:dyDescent="0.2">
      <c r="A42" s="3"/>
      <c r="B42" s="3"/>
      <c r="C42" s="3"/>
      <c r="D42" s="3"/>
      <c r="E42" s="3"/>
      <c r="F42" s="3"/>
      <c r="I42"/>
    </row>
    <row r="43" spans="1:9" s="11" customFormat="1" x14ac:dyDescent="0.2">
      <c r="A43" s="3"/>
      <c r="B43" s="3"/>
      <c r="C43" s="3"/>
      <c r="D43" s="3"/>
      <c r="E43" s="3"/>
      <c r="F43" s="3"/>
      <c r="G43" s="43"/>
      <c r="I43"/>
    </row>
    <row r="44" spans="1:9" s="11" customFormat="1" x14ac:dyDescent="0.2">
      <c r="A44" s="3"/>
      <c r="B44" s="3"/>
      <c r="C44" s="3"/>
      <c r="D44" s="3"/>
      <c r="E44" s="3"/>
      <c r="F44" s="3"/>
      <c r="G44" s="43"/>
      <c r="I44"/>
    </row>
    <row r="45" spans="1:9" s="11" customFormat="1" x14ac:dyDescent="0.2">
      <c r="A45" s="3"/>
      <c r="B45" s="3"/>
      <c r="C45" s="3"/>
      <c r="D45" s="3"/>
      <c r="E45" s="3"/>
      <c r="F45" s="3"/>
      <c r="G45" s="43"/>
      <c r="I45"/>
    </row>
    <row r="46" spans="1:9" s="11" customFormat="1" x14ac:dyDescent="0.2">
      <c r="A46" s="3"/>
      <c r="B46" s="3"/>
      <c r="C46" s="3"/>
      <c r="D46" s="3"/>
      <c r="E46" s="3"/>
      <c r="F46" s="3"/>
      <c r="G46" s="43"/>
      <c r="I46"/>
    </row>
    <row r="47" spans="1:9" s="11" customFormat="1" x14ac:dyDescent="0.2">
      <c r="A47" s="3"/>
      <c r="B47" s="3"/>
      <c r="C47" s="3"/>
      <c r="D47" s="3"/>
      <c r="E47" s="3"/>
      <c r="F47" s="3"/>
      <c r="G47" s="43"/>
      <c r="I47"/>
    </row>
    <row r="48" spans="1:9" s="11" customFormat="1" x14ac:dyDescent="0.2">
      <c r="A48" s="3"/>
      <c r="B48" s="3"/>
      <c r="C48" s="3"/>
      <c r="D48" s="3"/>
      <c r="E48" s="3"/>
      <c r="F48" s="3"/>
      <c r="G48" s="43"/>
      <c r="I48"/>
    </row>
    <row r="49" spans="1:9" s="11" customFormat="1" x14ac:dyDescent="0.2">
      <c r="A49"/>
      <c r="B49"/>
      <c r="C49"/>
      <c r="D49"/>
      <c r="E49"/>
      <c r="F49"/>
      <c r="G49" s="44"/>
      <c r="I49"/>
    </row>
    <row r="53" spans="1:9" x14ac:dyDescent="0.2">
      <c r="G53" s="43" t="s">
        <v>381</v>
      </c>
    </row>
  </sheetData>
  <mergeCells count="1">
    <mergeCell ref="E6:F6"/>
  </mergeCells>
  <conditionalFormatting sqref="B12:B14">
    <cfRule type="cellIs" dxfId="1" priority="1" stopIfTrue="1" operator="equal">
      <formula>#REF!</formula>
    </cfRule>
  </conditionalFormatting>
  <pageMargins left="0.5" right="0.5" top="0.5" bottom="0.5" header="0.5" footer="0.5"/>
  <pageSetup firstPageNumber="2" fitToHeight="0" orientation="portrait" r:id="rId1"/>
  <headerFooter alignWithMargins="0"/>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QC"/>
  <dimension ref="A1:L70"/>
  <sheetViews>
    <sheetView zoomScaleNormal="100" workbookViewId="0">
      <selection activeCell="G20" sqref="G20"/>
    </sheetView>
  </sheetViews>
  <sheetFormatPr defaultColWidth="2.7109375" defaultRowHeight="11.25" x14ac:dyDescent="0.2"/>
  <cols>
    <col min="1" max="1" width="13" style="5" customWidth="1"/>
    <col min="2" max="2" width="15.7109375" style="5" customWidth="1"/>
    <col min="3" max="3" width="12" style="5" customWidth="1"/>
    <col min="4" max="4" width="8.42578125" style="5" bestFit="1" customWidth="1"/>
    <col min="5" max="5" width="8.28515625" style="5" customWidth="1"/>
    <col min="6" max="6" width="10.5703125" style="5" customWidth="1"/>
    <col min="7" max="7" width="8.7109375" style="5" customWidth="1"/>
    <col min="8" max="8" width="8.28515625" style="5" customWidth="1"/>
    <col min="9" max="10" width="9.5703125" style="5" customWidth="1"/>
    <col min="11" max="11" width="6.5703125" style="5" bestFit="1" customWidth="1"/>
    <col min="12" max="16384" width="2.7109375" style="5"/>
  </cols>
  <sheetData>
    <row r="1" spans="1:12" s="3" customFormat="1" ht="58.5" customHeight="1" x14ac:dyDescent="0.2"/>
    <row r="2" spans="1:12" ht="5.25" customHeight="1" x14ac:dyDescent="0.2">
      <c r="C2" s="19"/>
      <c r="D2" s="19"/>
      <c r="I2" s="30"/>
      <c r="J2" s="30"/>
      <c r="K2" s="30"/>
      <c r="L2" s="30"/>
    </row>
    <row r="3" spans="1:12" ht="12.75" customHeight="1" x14ac:dyDescent="0.2">
      <c r="A3" s="49" t="s">
        <v>5</v>
      </c>
      <c r="B3" s="41" t="str">
        <f>IF(ISERROR(INDEX(Customer.Name,$A$1)), "", IF(ISBLANK(INDEX(Customer.Name,$A$1)), "", INDEX(Customer.Name,$A$1)))</f>
        <v>Big Valley</v>
      </c>
      <c r="C3" s="19"/>
      <c r="D3" s="19"/>
      <c r="G3" s="20" t="s">
        <v>24</v>
      </c>
      <c r="H3" s="66">
        <f ca="1">NOW()</f>
        <v>45580.517125694445</v>
      </c>
      <c r="I3" s="66"/>
      <c r="J3" s="30"/>
      <c r="K3" s="30"/>
      <c r="L3" s="30"/>
    </row>
    <row r="4" spans="1:12" ht="12.75" customHeight="1" x14ac:dyDescent="0.2">
      <c r="A4" s="20" t="s">
        <v>17</v>
      </c>
      <c r="B4" s="41" t="str">
        <f>IF(ISERROR(INDEX(Project.Name,$A$1)), "", IF(ISBLANK(INDEX(Project.Name,$A$1)), "", INDEX(Project.Name,$A$1)))</f>
        <v>HABs</v>
      </c>
      <c r="C4" s="19"/>
      <c r="D4" s="19"/>
      <c r="G4" s="41"/>
      <c r="H4" s="30"/>
      <c r="I4" s="30"/>
      <c r="J4" s="30"/>
      <c r="K4" s="30"/>
      <c r="L4" s="30"/>
    </row>
    <row r="5" spans="1:12" x14ac:dyDescent="0.2">
      <c r="A5" s="34"/>
      <c r="B5" s="34"/>
      <c r="C5" s="19"/>
      <c r="D5" s="19"/>
      <c r="E5" s="30"/>
      <c r="F5" s="30"/>
      <c r="H5" s="30"/>
      <c r="I5" s="30"/>
      <c r="J5" s="30"/>
      <c r="K5" s="30"/>
      <c r="L5" s="30"/>
    </row>
    <row r="6" spans="1:12" ht="12.75" x14ac:dyDescent="0.2">
      <c r="A6" s="29" t="s">
        <v>37</v>
      </c>
      <c r="B6" s="6"/>
      <c r="C6" s="6"/>
      <c r="D6" s="6"/>
      <c r="E6" s="6"/>
      <c r="F6" s="6"/>
      <c r="G6" s="6"/>
      <c r="H6" s="6"/>
      <c r="I6" s="6"/>
      <c r="J6" s="29"/>
      <c r="K6" s="29"/>
      <c r="L6" s="29"/>
    </row>
    <row r="7" spans="1:12" ht="24.75" customHeight="1" x14ac:dyDescent="0.2">
      <c r="A7" s="35" t="s">
        <v>8</v>
      </c>
      <c r="B7" s="47" t="s">
        <v>38</v>
      </c>
      <c r="C7" s="62" t="s">
        <v>6</v>
      </c>
      <c r="D7" s="62" t="s">
        <v>7</v>
      </c>
      <c r="E7" s="63" t="s">
        <v>31</v>
      </c>
      <c r="F7" s="63" t="s">
        <v>32</v>
      </c>
      <c r="G7" s="62" t="s">
        <v>26</v>
      </c>
      <c r="H7" s="63" t="s">
        <v>30</v>
      </c>
      <c r="I7" s="64" t="s">
        <v>27</v>
      </c>
      <c r="K7" s="29"/>
      <c r="L7" s="29"/>
    </row>
    <row r="8" spans="1:12" ht="15" customHeight="1" x14ac:dyDescent="0.2">
      <c r="A8" s="28" t="s">
        <v>206</v>
      </c>
      <c r="B8" s="27" t="s">
        <v>236</v>
      </c>
      <c r="C8" s="28" t="s">
        <v>205</v>
      </c>
      <c r="D8" s="28" t="s">
        <v>204</v>
      </c>
      <c r="E8" s="28" t="s">
        <v>22</v>
      </c>
      <c r="F8" s="28" t="s">
        <v>238</v>
      </c>
      <c r="G8" s="28"/>
      <c r="H8" s="28"/>
      <c r="I8" s="28">
        <v>1</v>
      </c>
    </row>
    <row r="9" spans="1:12" ht="15" customHeight="1" x14ac:dyDescent="0.2">
      <c r="A9" s="28" t="s">
        <v>206</v>
      </c>
      <c r="B9" s="27" t="s">
        <v>239</v>
      </c>
      <c r="C9" s="28">
        <v>0.75</v>
      </c>
      <c r="D9" s="28" t="s">
        <v>204</v>
      </c>
      <c r="E9" s="28"/>
      <c r="F9" s="28" t="s">
        <v>242</v>
      </c>
      <c r="G9" s="28">
        <v>100.1</v>
      </c>
      <c r="H9" s="28" t="s">
        <v>29</v>
      </c>
      <c r="I9" s="28">
        <v>1</v>
      </c>
    </row>
    <row r="10" spans="1:12" ht="15" customHeight="1" x14ac:dyDescent="0.2">
      <c r="A10" s="28" t="s">
        <v>206</v>
      </c>
      <c r="B10" s="27" t="s">
        <v>368</v>
      </c>
      <c r="C10" s="28">
        <v>1.05</v>
      </c>
      <c r="D10" s="28" t="s">
        <v>204</v>
      </c>
      <c r="E10" s="28"/>
      <c r="F10" s="28" t="s">
        <v>246</v>
      </c>
      <c r="G10" s="28">
        <v>105.5</v>
      </c>
      <c r="H10" s="28" t="s">
        <v>29</v>
      </c>
      <c r="I10" s="28">
        <v>1</v>
      </c>
    </row>
    <row r="11" spans="1:12" ht="15" customHeight="1" x14ac:dyDescent="0.2">
      <c r="A11" s="28"/>
      <c r="B11" s="27"/>
      <c r="C11" s="28"/>
      <c r="D11" s="28"/>
      <c r="E11" s="28"/>
      <c r="F11" s="28"/>
      <c r="G11" s="28"/>
      <c r="H11" s="28"/>
      <c r="I11" s="28"/>
    </row>
    <row r="12" spans="1:12" ht="15" customHeight="1" x14ac:dyDescent="0.2">
      <c r="A12" s="28" t="s">
        <v>206</v>
      </c>
      <c r="B12" s="27" t="s">
        <v>236</v>
      </c>
      <c r="C12" s="28" t="s">
        <v>205</v>
      </c>
      <c r="D12" s="28" t="s">
        <v>204</v>
      </c>
      <c r="E12" s="28" t="s">
        <v>22</v>
      </c>
      <c r="F12" s="28" t="s">
        <v>238</v>
      </c>
      <c r="G12" s="28"/>
      <c r="H12" s="28"/>
      <c r="I12" s="28">
        <v>2</v>
      </c>
    </row>
    <row r="13" spans="1:12" ht="15" customHeight="1" x14ac:dyDescent="0.2">
      <c r="A13" s="28" t="s">
        <v>206</v>
      </c>
      <c r="B13" s="27" t="s">
        <v>239</v>
      </c>
      <c r="C13" s="28">
        <v>0.82</v>
      </c>
      <c r="D13" s="28" t="s">
        <v>204</v>
      </c>
      <c r="E13" s="28"/>
      <c r="F13" s="28" t="s">
        <v>242</v>
      </c>
      <c r="G13" s="28">
        <v>109.7</v>
      </c>
      <c r="H13" s="28" t="s">
        <v>29</v>
      </c>
      <c r="I13" s="28">
        <v>2</v>
      </c>
    </row>
    <row r="14" spans="1:12" ht="15" customHeight="1" x14ac:dyDescent="0.2">
      <c r="A14" s="28" t="s">
        <v>206</v>
      </c>
      <c r="B14" s="27" t="s">
        <v>368</v>
      </c>
      <c r="C14" s="28">
        <v>2.36</v>
      </c>
      <c r="D14" s="28" t="s">
        <v>204</v>
      </c>
      <c r="E14" s="28"/>
      <c r="F14" s="61">
        <v>2.5</v>
      </c>
      <c r="G14" s="28">
        <v>94.2</v>
      </c>
      <c r="H14" s="28" t="s">
        <v>29</v>
      </c>
      <c r="I14" s="28">
        <v>2</v>
      </c>
    </row>
    <row r="15" spans="1:12" ht="15" customHeight="1" x14ac:dyDescent="0.2">
      <c r="A15" s="28"/>
      <c r="B15" s="27"/>
      <c r="C15" s="28"/>
      <c r="D15" s="28"/>
      <c r="E15" s="28"/>
      <c r="F15" s="28"/>
      <c r="G15" s="28"/>
      <c r="H15" s="28"/>
      <c r="I15" s="28"/>
    </row>
    <row r="16" spans="1:12" ht="15" customHeight="1" x14ac:dyDescent="0.2">
      <c r="A16" s="28" t="s">
        <v>201</v>
      </c>
      <c r="B16" s="27" t="s">
        <v>281</v>
      </c>
      <c r="C16" s="28" t="s">
        <v>205</v>
      </c>
      <c r="D16" s="28" t="s">
        <v>282</v>
      </c>
      <c r="E16" s="28" t="s">
        <v>22</v>
      </c>
      <c r="F16" s="28" t="s">
        <v>238</v>
      </c>
      <c r="G16" s="28"/>
      <c r="H16" s="28"/>
      <c r="I16" s="28"/>
    </row>
    <row r="17" spans="1:9" ht="15" customHeight="1" x14ac:dyDescent="0.2">
      <c r="A17" s="28" t="s">
        <v>201</v>
      </c>
      <c r="B17" s="27" t="s">
        <v>283</v>
      </c>
      <c r="C17" s="60">
        <v>53588</v>
      </c>
      <c r="D17" s="28" t="s">
        <v>282</v>
      </c>
      <c r="E17" s="28"/>
      <c r="F17" s="28" t="s">
        <v>285</v>
      </c>
      <c r="G17" s="28">
        <v>107.2</v>
      </c>
      <c r="H17" s="28" t="s">
        <v>29</v>
      </c>
      <c r="I17" s="28"/>
    </row>
    <row r="18" spans="1:9" ht="15" customHeight="1" x14ac:dyDescent="0.2">
      <c r="A18" s="28" t="s">
        <v>201</v>
      </c>
      <c r="B18" s="27" t="s">
        <v>294</v>
      </c>
      <c r="C18" s="28" t="s">
        <v>205</v>
      </c>
      <c r="D18" s="28" t="s">
        <v>282</v>
      </c>
      <c r="E18" s="28" t="s">
        <v>22</v>
      </c>
      <c r="F18" s="28" t="s">
        <v>238</v>
      </c>
      <c r="G18" s="28"/>
      <c r="H18" s="28"/>
      <c r="I18" s="28"/>
    </row>
    <row r="19" spans="1:9" ht="15" customHeight="1" x14ac:dyDescent="0.2">
      <c r="A19" s="28" t="s">
        <v>201</v>
      </c>
      <c r="B19" s="27" t="s">
        <v>303</v>
      </c>
      <c r="C19" s="28" t="s">
        <v>205</v>
      </c>
      <c r="D19" s="28" t="s">
        <v>282</v>
      </c>
      <c r="E19" s="28" t="s">
        <v>22</v>
      </c>
      <c r="F19" s="28" t="s">
        <v>238</v>
      </c>
      <c r="G19" s="28"/>
      <c r="H19" s="28"/>
      <c r="I19" s="28"/>
    </row>
    <row r="20" spans="1:9" ht="15" customHeight="1" x14ac:dyDescent="0.2">
      <c r="A20" s="28" t="s">
        <v>201</v>
      </c>
      <c r="B20" s="27" t="s">
        <v>312</v>
      </c>
      <c r="C20" s="28" t="s">
        <v>205</v>
      </c>
      <c r="D20" s="28" t="s">
        <v>282</v>
      </c>
      <c r="E20" s="28" t="s">
        <v>22</v>
      </c>
      <c r="F20" s="28" t="s">
        <v>238</v>
      </c>
      <c r="G20" s="28"/>
      <c r="H20" s="28"/>
      <c r="I20" s="28"/>
    </row>
    <row r="21" spans="1:9" ht="15" customHeight="1" x14ac:dyDescent="0.2">
      <c r="A21" s="28"/>
      <c r="B21" s="27"/>
      <c r="C21" s="28"/>
      <c r="D21" s="28"/>
      <c r="E21" s="28"/>
      <c r="F21" s="28"/>
      <c r="G21" s="28"/>
      <c r="H21" s="28"/>
      <c r="I21" s="28"/>
    </row>
    <row r="22" spans="1:9" ht="12" customHeight="1" x14ac:dyDescent="0.2">
      <c r="B22" s="27"/>
      <c r="E22" s="28"/>
    </row>
    <row r="23" spans="1:9" x14ac:dyDescent="0.2">
      <c r="B23" s="27"/>
      <c r="E23" s="28"/>
    </row>
    <row r="24" spans="1:9" x14ac:dyDescent="0.2">
      <c r="B24" s="27"/>
      <c r="E24" s="28"/>
    </row>
    <row r="25" spans="1:9" x14ac:dyDescent="0.2">
      <c r="B25" s="48"/>
      <c r="E25" s="28"/>
    </row>
    <row r="26" spans="1:9" x14ac:dyDescent="0.2">
      <c r="B26" s="10"/>
      <c r="C26" s="3"/>
      <c r="E26" s="28"/>
    </row>
    <row r="27" spans="1:9" x14ac:dyDescent="0.2">
      <c r="B27" s="10"/>
      <c r="C27" s="3"/>
      <c r="E27" s="28"/>
    </row>
    <row r="28" spans="1:9" x14ac:dyDescent="0.2">
      <c r="B28" s="10"/>
      <c r="C28" s="3"/>
      <c r="E28" s="28"/>
    </row>
    <row r="29" spans="1:9" x14ac:dyDescent="0.2">
      <c r="B29" s="10"/>
      <c r="C29" s="3"/>
      <c r="E29" s="28"/>
    </row>
    <row r="30" spans="1:9" x14ac:dyDescent="0.2">
      <c r="B30" s="10"/>
      <c r="C30" s="3"/>
      <c r="E30" s="28"/>
    </row>
    <row r="31" spans="1:9" x14ac:dyDescent="0.2">
      <c r="B31" s="10"/>
      <c r="C31" s="3"/>
      <c r="E31" s="28"/>
    </row>
    <row r="32" spans="1:9" x14ac:dyDescent="0.2">
      <c r="B32" s="10"/>
      <c r="C32" s="3"/>
    </row>
    <row r="33" spans="2:3" x14ac:dyDescent="0.2">
      <c r="B33" s="10"/>
      <c r="C33" s="3"/>
    </row>
    <row r="53" spans="1:9" x14ac:dyDescent="0.2">
      <c r="B53" s="17"/>
      <c r="C53" s="3"/>
    </row>
    <row r="54" spans="1:9" x14ac:dyDescent="0.2">
      <c r="A54" s="36" t="s">
        <v>34</v>
      </c>
      <c r="B54" s="37"/>
      <c r="C54" s="37"/>
      <c r="D54" s="38"/>
      <c r="E54" s="38"/>
      <c r="F54" s="38"/>
      <c r="G54" s="39"/>
      <c r="H54" s="39"/>
      <c r="I54" s="40"/>
    </row>
    <row r="55" spans="1:9" x14ac:dyDescent="0.2">
      <c r="A55" s="25" t="s">
        <v>19</v>
      </c>
      <c r="B55" s="31" t="s">
        <v>41</v>
      </c>
      <c r="C55" s="31"/>
      <c r="D55" s="25"/>
      <c r="E55" s="25"/>
      <c r="F55" s="25"/>
    </row>
    <row r="56" spans="1:9" x14ac:dyDescent="0.2">
      <c r="A56" s="25" t="s">
        <v>20</v>
      </c>
      <c r="B56" s="31" t="s">
        <v>42</v>
      </c>
      <c r="C56" s="31"/>
      <c r="D56" s="25"/>
      <c r="E56" s="25"/>
      <c r="F56" s="25"/>
    </row>
    <row r="57" spans="1:9" x14ac:dyDescent="0.2">
      <c r="A57" s="28" t="s">
        <v>40</v>
      </c>
      <c r="B57" s="5" t="s">
        <v>44</v>
      </c>
      <c r="C57" s="31"/>
      <c r="D57" s="25"/>
      <c r="E57" s="25"/>
      <c r="F57" s="25"/>
    </row>
    <row r="58" spans="1:9" x14ac:dyDescent="0.2">
      <c r="A58" s="25" t="s">
        <v>21</v>
      </c>
      <c r="B58" s="31" t="s">
        <v>43</v>
      </c>
      <c r="C58" s="31"/>
      <c r="D58" s="25"/>
      <c r="E58" s="25"/>
      <c r="F58" s="25"/>
    </row>
    <row r="59" spans="1:9" x14ac:dyDescent="0.2">
      <c r="A59" s="25" t="s">
        <v>22</v>
      </c>
      <c r="B59" s="31" t="s">
        <v>23</v>
      </c>
    </row>
    <row r="61" spans="1:9" x14ac:dyDescent="0.2">
      <c r="I61" s="42" t="s">
        <v>369</v>
      </c>
    </row>
    <row r="62" spans="1:9" x14ac:dyDescent="0.2">
      <c r="I62" s="42"/>
    </row>
    <row r="64" spans="1:9" x14ac:dyDescent="0.2">
      <c r="I64" s="42"/>
    </row>
    <row r="65" spans="9:9" x14ac:dyDescent="0.2">
      <c r="I65" s="42"/>
    </row>
    <row r="66" spans="9:9" x14ac:dyDescent="0.2">
      <c r="I66" s="42"/>
    </row>
    <row r="67" spans="9:9" x14ac:dyDescent="0.2">
      <c r="I67" s="42"/>
    </row>
    <row r="68" spans="9:9" x14ac:dyDescent="0.2">
      <c r="I68" s="42"/>
    </row>
    <row r="69" spans="9:9" x14ac:dyDescent="0.2">
      <c r="I69" s="42"/>
    </row>
    <row r="70" spans="9:9" x14ac:dyDescent="0.2">
      <c r="I70" s="42"/>
    </row>
  </sheetData>
  <mergeCells count="1">
    <mergeCell ref="H3:I3"/>
  </mergeCells>
  <conditionalFormatting sqref="A8:A21">
    <cfRule type="cellIs" dxfId="0" priority="4" stopIfTrue="1" operator="equal">
      <formula>#REF!</formula>
    </cfRule>
  </conditionalFormatting>
  <pageMargins left="0.5" right="0.4" top="0.5" bottom="0.5" header="0.5" footer="0.5"/>
  <pageSetup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LIMSData"/>
  <dimension ref="A1:AQ13"/>
  <sheetViews>
    <sheetView workbookViewId="0">
      <selection activeCell="E2" sqref="E2"/>
    </sheetView>
  </sheetViews>
  <sheetFormatPr defaultColWidth="9.140625" defaultRowHeight="11.25" x14ac:dyDescent="0.2"/>
  <cols>
    <col min="1" max="16384" width="9.140625" style="3"/>
  </cols>
  <sheetData>
    <row r="1" spans="1:43" x14ac:dyDescent="0.2">
      <c r="A1" s="18" t="s">
        <v>53</v>
      </c>
      <c r="B1" s="18" t="s">
        <v>54</v>
      </c>
      <c r="C1" s="18" t="s">
        <v>55</v>
      </c>
      <c r="D1" s="18" t="s">
        <v>56</v>
      </c>
      <c r="E1" s="18" t="s">
        <v>57</v>
      </c>
      <c r="F1" s="18" t="s">
        <v>58</v>
      </c>
      <c r="G1" s="18" t="s">
        <v>59</v>
      </c>
      <c r="H1" s="18" t="s">
        <v>60</v>
      </c>
      <c r="I1" s="18" t="s">
        <v>61</v>
      </c>
      <c r="J1" s="18" t="s">
        <v>62</v>
      </c>
      <c r="K1" s="18" t="s">
        <v>18</v>
      </c>
      <c r="L1" s="18" t="s">
        <v>63</v>
      </c>
      <c r="M1" s="18" t="s">
        <v>64</v>
      </c>
      <c r="N1" s="18" t="s">
        <v>65</v>
      </c>
      <c r="O1" s="18" t="s">
        <v>66</v>
      </c>
      <c r="P1" s="18" t="s">
        <v>67</v>
      </c>
      <c r="Q1" s="18" t="s">
        <v>68</v>
      </c>
      <c r="R1" s="18" t="s">
        <v>69</v>
      </c>
      <c r="S1" s="18" t="s">
        <v>70</v>
      </c>
      <c r="T1" s="18" t="s">
        <v>71</v>
      </c>
      <c r="U1" s="18" t="s">
        <v>72</v>
      </c>
      <c r="V1" s="18" t="s">
        <v>73</v>
      </c>
      <c r="W1" s="18" t="s">
        <v>74</v>
      </c>
      <c r="X1" s="18" t="s">
        <v>75</v>
      </c>
      <c r="Y1" s="18" t="s">
        <v>76</v>
      </c>
      <c r="Z1" s="18" t="s">
        <v>77</v>
      </c>
      <c r="AA1" s="18" t="s">
        <v>78</v>
      </c>
      <c r="AB1" s="18" t="s">
        <v>79</v>
      </c>
      <c r="AC1" s="18" t="s">
        <v>27</v>
      </c>
      <c r="AD1" s="18" t="s">
        <v>80</v>
      </c>
      <c r="AE1" s="18" t="s">
        <v>81</v>
      </c>
      <c r="AF1" s="18" t="s">
        <v>82</v>
      </c>
      <c r="AG1" s="18" t="s">
        <v>83</v>
      </c>
      <c r="AH1" s="18" t="s">
        <v>84</v>
      </c>
      <c r="AI1" s="18" t="s">
        <v>85</v>
      </c>
      <c r="AJ1" s="18" t="s">
        <v>86</v>
      </c>
      <c r="AK1" s="18" t="s">
        <v>87</v>
      </c>
      <c r="AL1" s="18" t="s">
        <v>88</v>
      </c>
      <c r="AM1" s="18" t="s">
        <v>89</v>
      </c>
      <c r="AN1" s="18" t="s">
        <v>90</v>
      </c>
      <c r="AO1" s="18" t="s">
        <v>91</v>
      </c>
      <c r="AP1" s="18" t="s">
        <v>92</v>
      </c>
      <c r="AQ1" s="18" t="s">
        <v>93</v>
      </c>
    </row>
    <row r="2" spans="1:43" x14ac:dyDescent="0.2">
      <c r="A2" s="3" t="s">
        <v>94</v>
      </c>
      <c r="B2" s="3" t="s">
        <v>95</v>
      </c>
      <c r="C2" s="3" t="s">
        <v>96</v>
      </c>
      <c r="D2" s="3" t="s">
        <v>108</v>
      </c>
      <c r="E2" s="3" t="s">
        <v>109</v>
      </c>
      <c r="F2" s="3">
        <v>1112</v>
      </c>
      <c r="G2" s="3">
        <v>2</v>
      </c>
      <c r="H2" s="3">
        <v>2</v>
      </c>
      <c r="I2" s="41">
        <v>45567</v>
      </c>
      <c r="J2" s="56">
        <v>0.43125000000000002</v>
      </c>
      <c r="L2" s="3">
        <v>1</v>
      </c>
      <c r="M2" s="57">
        <v>45573.676435185182</v>
      </c>
      <c r="N2" s="57">
        <v>45573.676435185182</v>
      </c>
      <c r="O2" s="57">
        <v>45572.544606481482</v>
      </c>
      <c r="P2" s="3" t="s">
        <v>121</v>
      </c>
      <c r="Q2" s="3" t="s">
        <v>122</v>
      </c>
      <c r="R2" s="3">
        <v>43</v>
      </c>
      <c r="T2" s="3" t="b">
        <v>0</v>
      </c>
      <c r="U2" s="3">
        <v>3</v>
      </c>
      <c r="V2" s="3" t="s">
        <v>123</v>
      </c>
      <c r="W2" s="41">
        <v>45574</v>
      </c>
      <c r="X2" s="41">
        <v>45569</v>
      </c>
      <c r="Y2" s="56">
        <v>0.38541666666666669</v>
      </c>
      <c r="Z2" s="41">
        <v>45569</v>
      </c>
      <c r="AB2" s="3" t="s">
        <v>135</v>
      </c>
      <c r="AC2" s="3">
        <v>450</v>
      </c>
      <c r="AI2" s="3" t="s">
        <v>147</v>
      </c>
      <c r="AJ2" s="3" t="s">
        <v>148</v>
      </c>
      <c r="AK2" s="3" t="s">
        <v>149</v>
      </c>
      <c r="AL2" s="57">
        <v>45567.431250000001</v>
      </c>
      <c r="AM2" s="3" t="s">
        <v>150</v>
      </c>
      <c r="AN2" s="3" t="s">
        <v>162</v>
      </c>
      <c r="AO2" s="3" t="s">
        <v>163</v>
      </c>
      <c r="AP2" s="3" t="s">
        <v>122</v>
      </c>
      <c r="AQ2" s="3" t="s">
        <v>164</v>
      </c>
    </row>
    <row r="3" spans="1:43" x14ac:dyDescent="0.2">
      <c r="A3" s="3" t="s">
        <v>94</v>
      </c>
      <c r="B3" s="3" t="s">
        <v>95</v>
      </c>
      <c r="C3" s="3" t="s">
        <v>97</v>
      </c>
      <c r="D3" s="3" t="s">
        <v>108</v>
      </c>
      <c r="E3" s="3" t="s">
        <v>110</v>
      </c>
      <c r="F3" s="3">
        <v>1112</v>
      </c>
      <c r="G3" s="3">
        <v>2</v>
      </c>
      <c r="H3" s="3">
        <v>2</v>
      </c>
      <c r="I3" s="41">
        <v>45567</v>
      </c>
      <c r="J3" s="56">
        <v>0.41180555555555554</v>
      </c>
      <c r="L3" s="3">
        <v>1</v>
      </c>
      <c r="M3" s="57">
        <v>45572.608402777776</v>
      </c>
      <c r="N3" s="57">
        <v>45572.608402777776</v>
      </c>
      <c r="O3" s="57">
        <v>45572.544606481482</v>
      </c>
      <c r="P3" s="3" t="s">
        <v>121</v>
      </c>
      <c r="Q3" s="3" t="s">
        <v>122</v>
      </c>
      <c r="R3" s="3">
        <v>74</v>
      </c>
      <c r="T3" s="3" t="b">
        <v>0</v>
      </c>
      <c r="U3" s="3">
        <v>3</v>
      </c>
      <c r="V3" s="3" t="s">
        <v>124</v>
      </c>
      <c r="W3" s="41">
        <v>45574</v>
      </c>
      <c r="X3" s="41">
        <v>45569</v>
      </c>
      <c r="Y3" s="56">
        <v>0.38541666666666669</v>
      </c>
      <c r="Z3" s="41">
        <v>45569</v>
      </c>
      <c r="AB3" s="3" t="s">
        <v>136</v>
      </c>
      <c r="AC3" s="3">
        <v>450</v>
      </c>
      <c r="AI3" s="3" t="s">
        <v>147</v>
      </c>
      <c r="AJ3" s="3" t="s">
        <v>148</v>
      </c>
      <c r="AK3" s="3" t="s">
        <v>149</v>
      </c>
      <c r="AL3" s="57">
        <v>45567.411805555559</v>
      </c>
      <c r="AM3" s="3" t="s">
        <v>151</v>
      </c>
      <c r="AN3" s="3" t="s">
        <v>162</v>
      </c>
      <c r="AO3" s="3" t="s">
        <v>163</v>
      </c>
      <c r="AP3" s="3" t="s">
        <v>122</v>
      </c>
      <c r="AQ3" s="3" t="s">
        <v>164</v>
      </c>
    </row>
    <row r="4" spans="1:43" x14ac:dyDescent="0.2">
      <c r="A4" s="3" t="s">
        <v>94</v>
      </c>
      <c r="B4" s="3" t="s">
        <v>95</v>
      </c>
      <c r="C4" s="3" t="s">
        <v>98</v>
      </c>
      <c r="D4" s="3" t="s">
        <v>108</v>
      </c>
      <c r="E4" s="3" t="s">
        <v>111</v>
      </c>
      <c r="F4" s="3">
        <v>1112</v>
      </c>
      <c r="G4" s="3">
        <v>2</v>
      </c>
      <c r="H4" s="3">
        <v>2</v>
      </c>
      <c r="I4" s="41">
        <v>45567</v>
      </c>
      <c r="J4" s="56">
        <v>0.44444444444444442</v>
      </c>
      <c r="L4" s="3">
        <v>1</v>
      </c>
      <c r="M4" s="57">
        <v>45574.618067129632</v>
      </c>
      <c r="N4" s="57">
        <v>45574.618067129632</v>
      </c>
      <c r="O4" s="57">
        <v>45572.544606481482</v>
      </c>
      <c r="P4" s="3" t="s">
        <v>121</v>
      </c>
      <c r="Q4" s="3" t="s">
        <v>122</v>
      </c>
      <c r="R4" s="3">
        <v>18</v>
      </c>
      <c r="T4" s="3" t="b">
        <v>0</v>
      </c>
      <c r="U4" s="3">
        <v>3</v>
      </c>
      <c r="V4" s="3" t="s">
        <v>125</v>
      </c>
      <c r="W4" s="41">
        <v>45574</v>
      </c>
      <c r="X4" s="41">
        <v>45569</v>
      </c>
      <c r="Y4" s="56">
        <v>0.38541666666666669</v>
      </c>
      <c r="Z4" s="41">
        <v>45569</v>
      </c>
      <c r="AB4" s="3" t="s">
        <v>137</v>
      </c>
      <c r="AC4" s="3">
        <v>450</v>
      </c>
      <c r="AI4" s="3" t="s">
        <v>147</v>
      </c>
      <c r="AJ4" s="3" t="s">
        <v>148</v>
      </c>
      <c r="AK4" s="3" t="s">
        <v>149</v>
      </c>
      <c r="AL4" s="57">
        <v>45567.444444444445</v>
      </c>
      <c r="AM4" s="3" t="s">
        <v>152</v>
      </c>
      <c r="AN4" s="3" t="s">
        <v>162</v>
      </c>
      <c r="AO4" s="3" t="s">
        <v>163</v>
      </c>
      <c r="AP4" s="3" t="s">
        <v>122</v>
      </c>
      <c r="AQ4" s="3" t="s">
        <v>164</v>
      </c>
    </row>
    <row r="5" spans="1:43" x14ac:dyDescent="0.2">
      <c r="A5" s="3" t="s">
        <v>94</v>
      </c>
      <c r="B5" s="3" t="s">
        <v>95</v>
      </c>
      <c r="C5" s="3" t="s">
        <v>99</v>
      </c>
      <c r="D5" s="3" t="s">
        <v>108</v>
      </c>
      <c r="E5" s="3" t="s">
        <v>112</v>
      </c>
      <c r="F5" s="3">
        <v>1112</v>
      </c>
      <c r="G5" s="3">
        <v>2</v>
      </c>
      <c r="H5" s="3">
        <v>2</v>
      </c>
      <c r="I5" s="41">
        <v>45567</v>
      </c>
      <c r="J5" s="56">
        <v>0.5131944444444444</v>
      </c>
      <c r="L5" s="3">
        <v>1</v>
      </c>
      <c r="M5" s="57">
        <v>45572.608414351853</v>
      </c>
      <c r="N5" s="57">
        <v>45572.608414351853</v>
      </c>
      <c r="O5" s="57">
        <v>45572.544618055559</v>
      </c>
      <c r="P5" s="3" t="s">
        <v>121</v>
      </c>
      <c r="Q5" s="3" t="s">
        <v>122</v>
      </c>
      <c r="R5" s="3">
        <v>20</v>
      </c>
      <c r="T5" s="3" t="b">
        <v>0</v>
      </c>
      <c r="U5" s="3">
        <v>3</v>
      </c>
      <c r="V5" s="3" t="s">
        <v>126</v>
      </c>
      <c r="W5" s="41">
        <v>45574</v>
      </c>
      <c r="X5" s="41">
        <v>45569</v>
      </c>
      <c r="Y5" s="56">
        <v>0.38541666666666669</v>
      </c>
      <c r="Z5" s="41">
        <v>45569</v>
      </c>
      <c r="AB5" s="3" t="s">
        <v>138</v>
      </c>
      <c r="AC5" s="3">
        <v>450</v>
      </c>
      <c r="AI5" s="3" t="s">
        <v>147</v>
      </c>
      <c r="AJ5" s="3" t="s">
        <v>148</v>
      </c>
      <c r="AK5" s="3" t="s">
        <v>149</v>
      </c>
      <c r="AL5" s="57">
        <v>45567.513194444444</v>
      </c>
      <c r="AM5" s="3" t="s">
        <v>153</v>
      </c>
      <c r="AN5" s="3" t="s">
        <v>162</v>
      </c>
      <c r="AO5" s="3" t="s">
        <v>163</v>
      </c>
      <c r="AP5" s="3" t="s">
        <v>122</v>
      </c>
      <c r="AQ5" s="3" t="s">
        <v>164</v>
      </c>
    </row>
    <row r="6" spans="1:43" x14ac:dyDescent="0.2">
      <c r="A6" s="3" t="s">
        <v>94</v>
      </c>
      <c r="B6" s="3" t="s">
        <v>95</v>
      </c>
      <c r="C6" s="3" t="s">
        <v>100</v>
      </c>
      <c r="D6" s="3" t="s">
        <v>108</v>
      </c>
      <c r="E6" s="3" t="s">
        <v>113</v>
      </c>
      <c r="F6" s="3">
        <v>1112</v>
      </c>
      <c r="G6" s="3">
        <v>2</v>
      </c>
      <c r="H6" s="3">
        <v>2</v>
      </c>
      <c r="I6" s="41">
        <v>45567</v>
      </c>
      <c r="J6" s="56">
        <v>0.46458333333333335</v>
      </c>
      <c r="L6" s="3">
        <v>1</v>
      </c>
      <c r="M6" s="57">
        <v>45572.608414351853</v>
      </c>
      <c r="N6" s="57">
        <v>45572.608414351853</v>
      </c>
      <c r="O6" s="57">
        <v>45572.544618055559</v>
      </c>
      <c r="P6" s="3" t="s">
        <v>121</v>
      </c>
      <c r="Q6" s="3" t="s">
        <v>122</v>
      </c>
      <c r="R6" s="3">
        <v>19</v>
      </c>
      <c r="T6" s="3" t="b">
        <v>0</v>
      </c>
      <c r="U6" s="3">
        <v>3</v>
      </c>
      <c r="V6" s="3" t="s">
        <v>127</v>
      </c>
      <c r="W6" s="41">
        <v>45574</v>
      </c>
      <c r="X6" s="41">
        <v>45569</v>
      </c>
      <c r="Y6" s="56">
        <v>0.38541666666666669</v>
      </c>
      <c r="Z6" s="41">
        <v>45569</v>
      </c>
      <c r="AB6" s="3" t="s">
        <v>139</v>
      </c>
      <c r="AC6" s="3">
        <v>450</v>
      </c>
      <c r="AI6" s="3" t="s">
        <v>147</v>
      </c>
      <c r="AJ6" s="3" t="s">
        <v>148</v>
      </c>
      <c r="AK6" s="3" t="s">
        <v>149</v>
      </c>
      <c r="AL6" s="57">
        <v>45567.464583333334</v>
      </c>
      <c r="AM6" s="3" t="s">
        <v>154</v>
      </c>
      <c r="AN6" s="3" t="s">
        <v>162</v>
      </c>
      <c r="AO6" s="3" t="s">
        <v>163</v>
      </c>
      <c r="AP6" s="3" t="s">
        <v>122</v>
      </c>
      <c r="AQ6" s="3" t="s">
        <v>164</v>
      </c>
    </row>
    <row r="7" spans="1:43" x14ac:dyDescent="0.2">
      <c r="A7" s="3" t="s">
        <v>94</v>
      </c>
      <c r="B7" s="3" t="s">
        <v>95</v>
      </c>
      <c r="C7" s="3" t="s">
        <v>101</v>
      </c>
      <c r="D7" s="3" t="s">
        <v>108</v>
      </c>
      <c r="E7" s="3" t="s">
        <v>114</v>
      </c>
      <c r="F7" s="3">
        <v>1112</v>
      </c>
      <c r="G7" s="3">
        <v>2</v>
      </c>
      <c r="H7" s="3">
        <v>2</v>
      </c>
      <c r="I7" s="41">
        <v>45567</v>
      </c>
      <c r="J7" s="56">
        <v>0.52222222222222225</v>
      </c>
      <c r="L7" s="3">
        <v>1</v>
      </c>
      <c r="M7" s="57">
        <v>45573.675312500003</v>
      </c>
      <c r="N7" s="57">
        <v>45573.675312500003</v>
      </c>
      <c r="O7" s="57">
        <v>45572.544629629629</v>
      </c>
      <c r="P7" s="3" t="s">
        <v>121</v>
      </c>
      <c r="Q7" s="3" t="s">
        <v>122</v>
      </c>
      <c r="R7" s="3">
        <v>45</v>
      </c>
      <c r="T7" s="3" t="b">
        <v>0</v>
      </c>
      <c r="U7" s="3">
        <v>3</v>
      </c>
      <c r="V7" s="3" t="s">
        <v>128</v>
      </c>
      <c r="W7" s="41">
        <v>45574</v>
      </c>
      <c r="X7" s="41">
        <v>45569</v>
      </c>
      <c r="Y7" s="56">
        <v>0.38541666666666669</v>
      </c>
      <c r="Z7" s="41">
        <v>45569</v>
      </c>
      <c r="AB7" s="3" t="s">
        <v>140</v>
      </c>
      <c r="AC7" s="3">
        <v>450</v>
      </c>
      <c r="AI7" s="3" t="s">
        <v>147</v>
      </c>
      <c r="AJ7" s="3" t="s">
        <v>148</v>
      </c>
      <c r="AK7" s="3" t="s">
        <v>149</v>
      </c>
      <c r="AL7" s="57">
        <v>45567.522222222222</v>
      </c>
      <c r="AM7" s="3" t="s">
        <v>155</v>
      </c>
      <c r="AN7" s="3" t="s">
        <v>162</v>
      </c>
      <c r="AO7" s="3" t="s">
        <v>163</v>
      </c>
      <c r="AP7" s="3" t="s">
        <v>122</v>
      </c>
      <c r="AQ7" s="3" t="s">
        <v>164</v>
      </c>
    </row>
    <row r="8" spans="1:43" x14ac:dyDescent="0.2">
      <c r="A8" s="3" t="s">
        <v>94</v>
      </c>
      <c r="B8" s="3" t="s">
        <v>95</v>
      </c>
      <c r="C8" s="3" t="s">
        <v>102</v>
      </c>
      <c r="D8" s="3" t="s">
        <v>108</v>
      </c>
      <c r="E8" s="3" t="s">
        <v>115</v>
      </c>
      <c r="F8" s="3">
        <v>1112</v>
      </c>
      <c r="G8" s="3">
        <v>2</v>
      </c>
      <c r="H8" s="3">
        <v>2</v>
      </c>
      <c r="I8" s="41">
        <v>45567</v>
      </c>
      <c r="J8" s="56">
        <v>0.53749999999999998</v>
      </c>
      <c r="L8" s="3">
        <v>1</v>
      </c>
      <c r="M8" s="57">
        <v>45574.618078703701</v>
      </c>
      <c r="N8" s="57">
        <v>45574.618078703701</v>
      </c>
      <c r="O8" s="57">
        <v>45572.544629629629</v>
      </c>
      <c r="P8" s="3" t="s">
        <v>121</v>
      </c>
      <c r="Q8" s="3" t="s">
        <v>122</v>
      </c>
      <c r="R8" s="3">
        <v>21</v>
      </c>
      <c r="T8" s="3" t="b">
        <v>0</v>
      </c>
      <c r="U8" s="3">
        <v>3</v>
      </c>
      <c r="V8" s="3" t="s">
        <v>129</v>
      </c>
      <c r="W8" s="41">
        <v>45574</v>
      </c>
      <c r="X8" s="41">
        <v>45569</v>
      </c>
      <c r="Y8" s="56">
        <v>0.38541666666666669</v>
      </c>
      <c r="Z8" s="41">
        <v>45569</v>
      </c>
      <c r="AB8" s="3" t="s">
        <v>141</v>
      </c>
      <c r="AC8" s="3">
        <v>450</v>
      </c>
      <c r="AI8" s="3" t="s">
        <v>147</v>
      </c>
      <c r="AJ8" s="3" t="s">
        <v>148</v>
      </c>
      <c r="AK8" s="3" t="s">
        <v>149</v>
      </c>
      <c r="AL8" s="57">
        <v>45567.537499999999</v>
      </c>
      <c r="AM8" s="3" t="s">
        <v>156</v>
      </c>
      <c r="AN8" s="3" t="s">
        <v>162</v>
      </c>
      <c r="AO8" s="3" t="s">
        <v>163</v>
      </c>
      <c r="AP8" s="3" t="s">
        <v>122</v>
      </c>
      <c r="AQ8" s="3" t="s">
        <v>164</v>
      </c>
    </row>
    <row r="9" spans="1:43" x14ac:dyDescent="0.2">
      <c r="A9" s="3" t="s">
        <v>94</v>
      </c>
      <c r="B9" s="3" t="s">
        <v>95</v>
      </c>
      <c r="C9" s="3" t="s">
        <v>103</v>
      </c>
      <c r="D9" s="3" t="s">
        <v>108</v>
      </c>
      <c r="E9" s="3" t="s">
        <v>116</v>
      </c>
      <c r="F9" s="3">
        <v>1112</v>
      </c>
      <c r="G9" s="3">
        <v>2</v>
      </c>
      <c r="H9" s="3">
        <v>2</v>
      </c>
      <c r="I9" s="41">
        <v>45567</v>
      </c>
      <c r="J9" s="56">
        <v>0.55069444444444449</v>
      </c>
      <c r="L9" s="3">
        <v>1</v>
      </c>
      <c r="M9" s="57">
        <v>45572.608437499999</v>
      </c>
      <c r="N9" s="57">
        <v>45572.608437499999</v>
      </c>
      <c r="O9" s="57">
        <v>45572.544641203705</v>
      </c>
      <c r="P9" s="3" t="s">
        <v>121</v>
      </c>
      <c r="Q9" s="3" t="s">
        <v>122</v>
      </c>
      <c r="R9" s="3">
        <v>46</v>
      </c>
      <c r="T9" s="3" t="b">
        <v>0</v>
      </c>
      <c r="U9" s="3">
        <v>3</v>
      </c>
      <c r="V9" s="3" t="s">
        <v>130</v>
      </c>
      <c r="W9" s="41">
        <v>45574</v>
      </c>
      <c r="X9" s="41">
        <v>45569</v>
      </c>
      <c r="Y9" s="56">
        <v>0.38541666666666669</v>
      </c>
      <c r="Z9" s="41">
        <v>45569</v>
      </c>
      <c r="AB9" s="3" t="s">
        <v>142</v>
      </c>
      <c r="AC9" s="3">
        <v>450</v>
      </c>
      <c r="AI9" s="3" t="s">
        <v>147</v>
      </c>
      <c r="AJ9" s="3" t="s">
        <v>148</v>
      </c>
      <c r="AK9" s="3" t="s">
        <v>149</v>
      </c>
      <c r="AL9" s="57">
        <v>45567.550694444442</v>
      </c>
      <c r="AM9" s="3" t="s">
        <v>157</v>
      </c>
      <c r="AN9" s="3" t="s">
        <v>162</v>
      </c>
      <c r="AO9" s="3" t="s">
        <v>163</v>
      </c>
      <c r="AP9" s="3" t="s">
        <v>122</v>
      </c>
      <c r="AQ9" s="3" t="s">
        <v>164</v>
      </c>
    </row>
    <row r="10" spans="1:43" x14ac:dyDescent="0.2">
      <c r="A10" s="3" t="s">
        <v>94</v>
      </c>
      <c r="B10" s="3" t="s">
        <v>95</v>
      </c>
      <c r="C10" s="3" t="s">
        <v>104</v>
      </c>
      <c r="D10" s="3" t="s">
        <v>108</v>
      </c>
      <c r="E10" s="3" t="s">
        <v>117</v>
      </c>
      <c r="F10" s="3">
        <v>1112</v>
      </c>
      <c r="G10" s="3">
        <v>2</v>
      </c>
      <c r="H10" s="3">
        <v>2</v>
      </c>
      <c r="I10" s="41">
        <v>45567</v>
      </c>
      <c r="J10" s="56">
        <v>0.58333333333333337</v>
      </c>
      <c r="L10" s="3">
        <v>1</v>
      </c>
      <c r="M10" s="57">
        <v>45572.608437499999</v>
      </c>
      <c r="N10" s="57">
        <v>45572.608437499999</v>
      </c>
      <c r="O10" s="57">
        <v>45572.544641203705</v>
      </c>
      <c r="P10" s="3" t="s">
        <v>121</v>
      </c>
      <c r="Q10" s="3" t="s">
        <v>122</v>
      </c>
      <c r="R10" s="3">
        <v>22</v>
      </c>
      <c r="T10" s="3" t="b">
        <v>0</v>
      </c>
      <c r="U10" s="3">
        <v>3</v>
      </c>
      <c r="V10" s="3" t="s">
        <v>131</v>
      </c>
      <c r="W10" s="41">
        <v>45574</v>
      </c>
      <c r="X10" s="41">
        <v>45569</v>
      </c>
      <c r="Y10" s="56">
        <v>0.38541666666666669</v>
      </c>
      <c r="Z10" s="41">
        <v>45569</v>
      </c>
      <c r="AB10" s="3" t="s">
        <v>143</v>
      </c>
      <c r="AC10" s="3">
        <v>450</v>
      </c>
      <c r="AI10" s="3" t="s">
        <v>147</v>
      </c>
      <c r="AJ10" s="3" t="s">
        <v>148</v>
      </c>
      <c r="AK10" s="3" t="s">
        <v>149</v>
      </c>
      <c r="AL10" s="57">
        <v>45567.583333333336</v>
      </c>
      <c r="AM10" s="3" t="s">
        <v>158</v>
      </c>
      <c r="AN10" s="3" t="s">
        <v>162</v>
      </c>
      <c r="AO10" s="3" t="s">
        <v>163</v>
      </c>
      <c r="AP10" s="3" t="s">
        <v>122</v>
      </c>
      <c r="AQ10" s="3" t="s">
        <v>164</v>
      </c>
    </row>
    <row r="11" spans="1:43" x14ac:dyDescent="0.2">
      <c r="A11" s="3" t="s">
        <v>94</v>
      </c>
      <c r="B11" s="3" t="s">
        <v>95</v>
      </c>
      <c r="C11" s="3" t="s">
        <v>105</v>
      </c>
      <c r="D11" s="3" t="s">
        <v>108</v>
      </c>
      <c r="E11" s="3" t="s">
        <v>118</v>
      </c>
      <c r="F11" s="3">
        <v>1112</v>
      </c>
      <c r="G11" s="3">
        <v>2</v>
      </c>
      <c r="H11" s="3">
        <v>2</v>
      </c>
      <c r="I11" s="41">
        <v>45567</v>
      </c>
      <c r="J11" s="56">
        <v>0.59930555555555554</v>
      </c>
      <c r="L11" s="3">
        <v>1</v>
      </c>
      <c r="M11" s="57">
        <v>45574.416562500002</v>
      </c>
      <c r="N11" s="57">
        <v>45574.416562500002</v>
      </c>
      <c r="O11" s="57">
        <v>45572.544641203705</v>
      </c>
      <c r="P11" s="3" t="s">
        <v>121</v>
      </c>
      <c r="Q11" s="3" t="s">
        <v>122</v>
      </c>
      <c r="R11" s="3">
        <v>23</v>
      </c>
      <c r="T11" s="3" t="b">
        <v>0</v>
      </c>
      <c r="U11" s="3">
        <v>3</v>
      </c>
      <c r="V11" s="3" t="s">
        <v>132</v>
      </c>
      <c r="W11" s="41">
        <v>45574</v>
      </c>
      <c r="X11" s="41">
        <v>45569</v>
      </c>
      <c r="Y11" s="56">
        <v>0.38541666666666669</v>
      </c>
      <c r="Z11" s="41">
        <v>45569</v>
      </c>
      <c r="AB11" s="3" t="s">
        <v>144</v>
      </c>
      <c r="AC11" s="3">
        <v>450</v>
      </c>
      <c r="AI11" s="3" t="s">
        <v>147</v>
      </c>
      <c r="AJ11" s="3" t="s">
        <v>148</v>
      </c>
      <c r="AK11" s="3" t="s">
        <v>149</v>
      </c>
      <c r="AL11" s="57">
        <v>45567.599305555559</v>
      </c>
      <c r="AM11" s="3" t="s">
        <v>159</v>
      </c>
      <c r="AN11" s="3" t="s">
        <v>162</v>
      </c>
      <c r="AO11" s="3" t="s">
        <v>163</v>
      </c>
      <c r="AP11" s="3" t="s">
        <v>122</v>
      </c>
      <c r="AQ11" s="3" t="s">
        <v>164</v>
      </c>
    </row>
    <row r="12" spans="1:43" x14ac:dyDescent="0.2">
      <c r="A12" s="3" t="s">
        <v>94</v>
      </c>
      <c r="B12" s="3" t="s">
        <v>95</v>
      </c>
      <c r="C12" s="3" t="s">
        <v>106</v>
      </c>
      <c r="D12" s="3" t="s">
        <v>108</v>
      </c>
      <c r="E12" s="3" t="s">
        <v>119</v>
      </c>
      <c r="F12" s="3">
        <v>1112</v>
      </c>
      <c r="G12" s="3">
        <v>2</v>
      </c>
      <c r="H12" s="3">
        <v>2</v>
      </c>
      <c r="I12" s="41">
        <v>45567</v>
      </c>
      <c r="J12" s="56">
        <v>0.61875000000000002</v>
      </c>
      <c r="L12" s="3">
        <v>1</v>
      </c>
      <c r="M12" s="57">
        <v>45573.676446759258</v>
      </c>
      <c r="N12" s="57">
        <v>45573.676446759258</v>
      </c>
      <c r="O12" s="57">
        <v>45572.544652777775</v>
      </c>
      <c r="P12" s="3" t="s">
        <v>121</v>
      </c>
      <c r="Q12" s="3" t="s">
        <v>122</v>
      </c>
      <c r="R12" s="3">
        <v>69</v>
      </c>
      <c r="T12" s="3" t="b">
        <v>0</v>
      </c>
      <c r="U12" s="3">
        <v>3</v>
      </c>
      <c r="V12" s="3" t="s">
        <v>133</v>
      </c>
      <c r="W12" s="41">
        <v>45574</v>
      </c>
      <c r="X12" s="41">
        <v>45569</v>
      </c>
      <c r="Y12" s="56">
        <v>0.38541666666666669</v>
      </c>
      <c r="Z12" s="41">
        <v>45569</v>
      </c>
      <c r="AB12" s="3" t="s">
        <v>145</v>
      </c>
      <c r="AC12" s="3">
        <v>450</v>
      </c>
      <c r="AI12" s="3" t="s">
        <v>147</v>
      </c>
      <c r="AJ12" s="3" t="s">
        <v>148</v>
      </c>
      <c r="AK12" s="3" t="s">
        <v>149</v>
      </c>
      <c r="AL12" s="57">
        <v>45567.618750000001</v>
      </c>
      <c r="AM12" s="3" t="s">
        <v>160</v>
      </c>
      <c r="AN12" s="3" t="s">
        <v>162</v>
      </c>
      <c r="AO12" s="3" t="s">
        <v>163</v>
      </c>
      <c r="AP12" s="3" t="s">
        <v>122</v>
      </c>
      <c r="AQ12" s="3" t="s">
        <v>164</v>
      </c>
    </row>
    <row r="13" spans="1:43" x14ac:dyDescent="0.2">
      <c r="A13" s="3" t="s">
        <v>94</v>
      </c>
      <c r="B13" s="3" t="s">
        <v>95</v>
      </c>
      <c r="C13" s="3" t="s">
        <v>107</v>
      </c>
      <c r="D13" s="3" t="s">
        <v>108</v>
      </c>
      <c r="E13" s="3" t="s">
        <v>120</v>
      </c>
      <c r="F13" s="3">
        <v>1112</v>
      </c>
      <c r="G13" s="3">
        <v>2</v>
      </c>
      <c r="H13" s="3">
        <v>2</v>
      </c>
      <c r="I13" s="41">
        <v>45567</v>
      </c>
      <c r="J13" s="56">
        <v>0.67013888888888884</v>
      </c>
      <c r="L13" s="3">
        <v>1</v>
      </c>
      <c r="M13" s="57">
        <v>45573.675324074073</v>
      </c>
      <c r="N13" s="57">
        <v>45573.675324074073</v>
      </c>
      <c r="O13" s="57">
        <v>45572.544652777775</v>
      </c>
      <c r="P13" s="3" t="s">
        <v>121</v>
      </c>
      <c r="Q13" s="3" t="s">
        <v>122</v>
      </c>
      <c r="R13" s="3">
        <v>47</v>
      </c>
      <c r="T13" s="3" t="b">
        <v>0</v>
      </c>
      <c r="U13" s="3">
        <v>3</v>
      </c>
      <c r="V13" s="3" t="s">
        <v>134</v>
      </c>
      <c r="W13" s="41">
        <v>45574</v>
      </c>
      <c r="X13" s="41">
        <v>45569</v>
      </c>
      <c r="Y13" s="56">
        <v>0.38541666666666669</v>
      </c>
      <c r="Z13" s="41">
        <v>45569</v>
      </c>
      <c r="AB13" s="3" t="s">
        <v>146</v>
      </c>
      <c r="AC13" s="3">
        <v>450</v>
      </c>
      <c r="AI13" s="3" t="s">
        <v>147</v>
      </c>
      <c r="AJ13" s="3" t="s">
        <v>148</v>
      </c>
      <c r="AK13" s="3" t="s">
        <v>149</v>
      </c>
      <c r="AL13" s="57">
        <v>45567.670138888891</v>
      </c>
      <c r="AM13" s="3" t="s">
        <v>161</v>
      </c>
      <c r="AN13" s="3" t="s">
        <v>162</v>
      </c>
      <c r="AO13" s="3" t="s">
        <v>163</v>
      </c>
      <c r="AP13" s="3" t="s">
        <v>122</v>
      </c>
      <c r="AQ13" s="3" t="s">
        <v>164</v>
      </c>
    </row>
  </sheetData>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nalysisData"/>
  <dimension ref="A1:AK19"/>
  <sheetViews>
    <sheetView workbookViewId="0">
      <selection activeCell="G30" sqref="G30"/>
    </sheetView>
  </sheetViews>
  <sheetFormatPr defaultColWidth="9.140625" defaultRowHeight="11.25" x14ac:dyDescent="0.2"/>
  <cols>
    <col min="1" max="1" width="15.140625" style="3" bestFit="1" customWidth="1"/>
    <col min="2" max="16384" width="9.140625" style="3"/>
  </cols>
  <sheetData>
    <row r="1" spans="1:37" x14ac:dyDescent="0.2">
      <c r="A1" s="18" t="s">
        <v>165</v>
      </c>
      <c r="B1" s="18" t="s">
        <v>166</v>
      </c>
      <c r="C1" s="18" t="s">
        <v>167</v>
      </c>
      <c r="D1" s="18" t="s">
        <v>168</v>
      </c>
      <c r="E1" s="18" t="s">
        <v>169</v>
      </c>
      <c r="F1" s="18" t="s">
        <v>170</v>
      </c>
      <c r="G1" s="18" t="s">
        <v>171</v>
      </c>
      <c r="H1" s="18" t="s">
        <v>172</v>
      </c>
      <c r="I1" s="18" t="s">
        <v>173</v>
      </c>
      <c r="J1" s="18" t="s">
        <v>174</v>
      </c>
      <c r="K1" s="18" t="s">
        <v>175</v>
      </c>
      <c r="L1" s="18" t="s">
        <v>176</v>
      </c>
      <c r="M1" s="18" t="s">
        <v>177</v>
      </c>
      <c r="N1" s="18" t="s">
        <v>178</v>
      </c>
      <c r="O1" s="18" t="s">
        <v>179</v>
      </c>
      <c r="P1" s="18" t="s">
        <v>180</v>
      </c>
      <c r="Q1" s="18" t="s">
        <v>181</v>
      </c>
      <c r="R1" s="18" t="s">
        <v>182</v>
      </c>
      <c r="S1" s="18" t="s">
        <v>183</v>
      </c>
      <c r="T1" s="18" t="s">
        <v>184</v>
      </c>
      <c r="U1" s="18" t="s">
        <v>185</v>
      </c>
      <c r="V1" s="18" t="s">
        <v>84</v>
      </c>
      <c r="W1" s="18" t="s">
        <v>186</v>
      </c>
      <c r="X1" s="18" t="s">
        <v>14</v>
      </c>
      <c r="Y1" s="18" t="s">
        <v>187</v>
      </c>
      <c r="Z1" s="18" t="s">
        <v>86</v>
      </c>
      <c r="AA1" s="18" t="s">
        <v>188</v>
      </c>
      <c r="AB1" s="18" t="s">
        <v>189</v>
      </c>
      <c r="AC1" s="18" t="s">
        <v>190</v>
      </c>
      <c r="AD1" s="18" t="s">
        <v>191</v>
      </c>
      <c r="AE1" s="18" t="s">
        <v>192</v>
      </c>
      <c r="AF1" s="18" t="s">
        <v>193</v>
      </c>
      <c r="AG1" s="18" t="s">
        <v>194</v>
      </c>
      <c r="AH1" s="18" t="s">
        <v>195</v>
      </c>
      <c r="AI1" s="18" t="s">
        <v>91</v>
      </c>
      <c r="AJ1" s="18" t="s">
        <v>92</v>
      </c>
      <c r="AK1" s="18" t="s">
        <v>93</v>
      </c>
    </row>
    <row r="2" spans="1:37" x14ac:dyDescent="0.2">
      <c r="A2" s="3" t="s">
        <v>109</v>
      </c>
      <c r="B2" s="3" t="s">
        <v>196</v>
      </c>
      <c r="C2" s="3">
        <v>33397</v>
      </c>
      <c r="D2" s="3">
        <v>3304</v>
      </c>
      <c r="E2" s="41">
        <v>45573</v>
      </c>
      <c r="F2" s="41"/>
      <c r="G2" s="3" t="b">
        <v>1</v>
      </c>
      <c r="J2" s="3">
        <v>1000000000000</v>
      </c>
      <c r="K2" s="3">
        <v>9700000000</v>
      </c>
      <c r="M2" s="3">
        <v>0</v>
      </c>
      <c r="N2" s="3">
        <v>0</v>
      </c>
      <c r="O2" s="3">
        <v>52</v>
      </c>
      <c r="P2" s="3">
        <v>75</v>
      </c>
      <c r="R2" s="3">
        <v>7933</v>
      </c>
      <c r="S2" s="3" t="s">
        <v>197</v>
      </c>
      <c r="T2" s="3">
        <v>100</v>
      </c>
      <c r="X2" s="3" t="s">
        <v>198</v>
      </c>
      <c r="Y2" s="3" t="s">
        <v>199</v>
      </c>
      <c r="Z2" s="3" t="s">
        <v>196</v>
      </c>
      <c r="AA2" s="3">
        <v>1</v>
      </c>
      <c r="AB2" s="3" t="s">
        <v>200</v>
      </c>
      <c r="AD2" s="3">
        <v>0</v>
      </c>
      <c r="AG2" s="3">
        <v>14</v>
      </c>
      <c r="AH2" s="3" t="s">
        <v>201</v>
      </c>
      <c r="AI2" s="3" t="s">
        <v>163</v>
      </c>
      <c r="AJ2" s="3" t="s">
        <v>122</v>
      </c>
      <c r="AK2" s="3" t="s">
        <v>164</v>
      </c>
    </row>
    <row r="3" spans="1:37" x14ac:dyDescent="0.2">
      <c r="A3" s="3" t="s">
        <v>110</v>
      </c>
      <c r="B3" s="3" t="s">
        <v>202</v>
      </c>
      <c r="C3" s="3">
        <v>33398</v>
      </c>
      <c r="D3" s="3">
        <v>0.109</v>
      </c>
      <c r="E3" s="41">
        <v>45572</v>
      </c>
      <c r="F3" s="41"/>
      <c r="G3" s="3" t="b">
        <v>1</v>
      </c>
      <c r="J3" s="3">
        <v>50000000</v>
      </c>
      <c r="K3" s="3">
        <v>1000000</v>
      </c>
      <c r="M3" s="3">
        <v>0</v>
      </c>
      <c r="N3" s="3">
        <v>-1</v>
      </c>
      <c r="O3" s="3">
        <v>11</v>
      </c>
      <c r="P3" s="3">
        <v>130</v>
      </c>
      <c r="R3" s="3">
        <v>7928</v>
      </c>
      <c r="S3" s="3" t="s">
        <v>197</v>
      </c>
      <c r="T3" s="3">
        <v>0.15</v>
      </c>
      <c r="X3" s="3" t="s">
        <v>203</v>
      </c>
      <c r="Y3" s="3" t="s">
        <v>204</v>
      </c>
      <c r="Z3" s="3" t="s">
        <v>202</v>
      </c>
      <c r="AA3" s="3">
        <v>0.15</v>
      </c>
      <c r="AB3" s="3" t="s">
        <v>205</v>
      </c>
      <c r="AD3" s="3">
        <v>0</v>
      </c>
      <c r="AG3" s="3">
        <v>3</v>
      </c>
      <c r="AH3" s="3" t="s">
        <v>206</v>
      </c>
      <c r="AI3" s="3" t="s">
        <v>163</v>
      </c>
      <c r="AJ3" s="3" t="s">
        <v>122</v>
      </c>
      <c r="AK3" s="3" t="s">
        <v>164</v>
      </c>
    </row>
    <row r="4" spans="1:37" x14ac:dyDescent="0.2">
      <c r="A4" s="3" t="s">
        <v>111</v>
      </c>
      <c r="B4" s="3" t="s">
        <v>202</v>
      </c>
      <c r="C4" s="3">
        <v>33399</v>
      </c>
      <c r="D4" s="3">
        <v>0.27200000000000002</v>
      </c>
      <c r="E4" s="41">
        <v>45572</v>
      </c>
      <c r="F4" s="41"/>
      <c r="G4" s="3" t="b">
        <v>1</v>
      </c>
      <c r="J4" s="3">
        <v>50000000</v>
      </c>
      <c r="K4" s="3">
        <v>1000000</v>
      </c>
      <c r="M4" s="3">
        <v>0</v>
      </c>
      <c r="N4" s="3">
        <v>-1</v>
      </c>
      <c r="O4" s="3">
        <v>11</v>
      </c>
      <c r="P4" s="3">
        <v>130</v>
      </c>
      <c r="R4" s="3">
        <v>7928</v>
      </c>
      <c r="S4" s="3" t="s">
        <v>197</v>
      </c>
      <c r="T4" s="3">
        <v>0.15</v>
      </c>
      <c r="X4" s="3" t="s">
        <v>203</v>
      </c>
      <c r="Y4" s="3" t="s">
        <v>204</v>
      </c>
      <c r="Z4" s="3" t="s">
        <v>202</v>
      </c>
      <c r="AA4" s="3">
        <v>0.15</v>
      </c>
      <c r="AB4" s="3" t="s">
        <v>207</v>
      </c>
      <c r="AD4" s="3">
        <v>0</v>
      </c>
      <c r="AG4" s="3">
        <v>3</v>
      </c>
      <c r="AH4" s="3" t="s">
        <v>206</v>
      </c>
      <c r="AI4" s="3" t="s">
        <v>163</v>
      </c>
      <c r="AJ4" s="3" t="s">
        <v>122</v>
      </c>
      <c r="AK4" s="3" t="s">
        <v>164</v>
      </c>
    </row>
    <row r="5" spans="1:37" x14ac:dyDescent="0.2">
      <c r="A5" s="3" t="s">
        <v>111</v>
      </c>
      <c r="B5" s="3" t="s">
        <v>208</v>
      </c>
      <c r="C5" s="3">
        <v>33400</v>
      </c>
      <c r="D5" s="3">
        <v>0</v>
      </c>
      <c r="E5" s="41">
        <v>45574</v>
      </c>
      <c r="F5" s="41"/>
      <c r="G5" s="3" t="b">
        <v>1</v>
      </c>
      <c r="J5" s="3">
        <v>10000000000000</v>
      </c>
      <c r="K5" s="3">
        <v>9700000000</v>
      </c>
      <c r="M5" s="3">
        <v>0</v>
      </c>
      <c r="N5" s="3">
        <v>0</v>
      </c>
      <c r="O5" s="3">
        <v>54</v>
      </c>
      <c r="P5" s="3">
        <v>75</v>
      </c>
      <c r="R5" s="3">
        <v>7936</v>
      </c>
      <c r="S5" s="3" t="s">
        <v>197</v>
      </c>
      <c r="T5" s="3">
        <v>100</v>
      </c>
      <c r="X5" s="3" t="s">
        <v>209</v>
      </c>
      <c r="Y5" s="3" t="s">
        <v>199</v>
      </c>
      <c r="Z5" s="3" t="s">
        <v>208</v>
      </c>
      <c r="AA5" s="3">
        <v>1</v>
      </c>
      <c r="AB5" s="3" t="s">
        <v>205</v>
      </c>
      <c r="AD5" s="3">
        <v>0</v>
      </c>
      <c r="AG5" s="3">
        <v>12</v>
      </c>
      <c r="AH5" s="3" t="s">
        <v>201</v>
      </c>
      <c r="AI5" s="3" t="s">
        <v>163</v>
      </c>
      <c r="AJ5" s="3" t="s">
        <v>122</v>
      </c>
      <c r="AK5" s="3" t="s">
        <v>164</v>
      </c>
    </row>
    <row r="6" spans="1:37" x14ac:dyDescent="0.2">
      <c r="A6" s="3" t="s">
        <v>112</v>
      </c>
      <c r="B6" s="3" t="s">
        <v>202</v>
      </c>
      <c r="C6" s="3">
        <v>33401</v>
      </c>
      <c r="D6" s="3">
        <v>1.0325</v>
      </c>
      <c r="E6" s="41">
        <v>45572</v>
      </c>
      <c r="F6" s="41"/>
      <c r="G6" s="3" t="b">
        <v>1</v>
      </c>
      <c r="J6" s="3">
        <v>50000000</v>
      </c>
      <c r="K6" s="3">
        <v>1000000</v>
      </c>
      <c r="M6" s="3">
        <v>0</v>
      </c>
      <c r="N6" s="3">
        <v>-1</v>
      </c>
      <c r="O6" s="3">
        <v>11</v>
      </c>
      <c r="P6" s="3">
        <v>130</v>
      </c>
      <c r="R6" s="3">
        <v>7928</v>
      </c>
      <c r="S6" s="3" t="s">
        <v>197</v>
      </c>
      <c r="T6" s="3">
        <v>0.15</v>
      </c>
      <c r="X6" s="3" t="s">
        <v>203</v>
      </c>
      <c r="Y6" s="3" t="s">
        <v>204</v>
      </c>
      <c r="Z6" s="3" t="s">
        <v>202</v>
      </c>
      <c r="AA6" s="3">
        <v>0.15</v>
      </c>
      <c r="AB6" s="3" t="s">
        <v>210</v>
      </c>
      <c r="AD6" s="3">
        <v>0</v>
      </c>
      <c r="AG6" s="3">
        <v>3</v>
      </c>
      <c r="AH6" s="3" t="s">
        <v>206</v>
      </c>
      <c r="AI6" s="3" t="s">
        <v>163</v>
      </c>
      <c r="AJ6" s="3" t="s">
        <v>122</v>
      </c>
      <c r="AK6" s="3" t="s">
        <v>164</v>
      </c>
    </row>
    <row r="7" spans="1:37" x14ac:dyDescent="0.2">
      <c r="A7" s="3" t="s">
        <v>113</v>
      </c>
      <c r="B7" s="3" t="s">
        <v>202</v>
      </c>
      <c r="C7" s="3">
        <v>33402</v>
      </c>
      <c r="D7" s="3">
        <v>1.145</v>
      </c>
      <c r="E7" s="41">
        <v>45572</v>
      </c>
      <c r="F7" s="41"/>
      <c r="G7" s="3" t="b">
        <v>1</v>
      </c>
      <c r="J7" s="3">
        <v>50000000</v>
      </c>
      <c r="K7" s="3">
        <v>1000000</v>
      </c>
      <c r="M7" s="3">
        <v>0</v>
      </c>
      <c r="N7" s="3">
        <v>-1</v>
      </c>
      <c r="O7" s="3">
        <v>11</v>
      </c>
      <c r="P7" s="3">
        <v>130</v>
      </c>
      <c r="R7" s="3">
        <v>7928</v>
      </c>
      <c r="S7" s="3" t="s">
        <v>197</v>
      </c>
      <c r="T7" s="3">
        <v>0.3</v>
      </c>
      <c r="X7" s="3" t="s">
        <v>203</v>
      </c>
      <c r="Y7" s="3" t="s">
        <v>204</v>
      </c>
      <c r="Z7" s="3" t="s">
        <v>202</v>
      </c>
      <c r="AA7" s="3">
        <v>0.15</v>
      </c>
      <c r="AB7" s="3" t="s">
        <v>211</v>
      </c>
      <c r="AD7" s="3">
        <v>0</v>
      </c>
      <c r="AG7" s="3">
        <v>3</v>
      </c>
      <c r="AH7" s="3" t="s">
        <v>206</v>
      </c>
      <c r="AI7" s="3" t="s">
        <v>163</v>
      </c>
      <c r="AJ7" s="3" t="s">
        <v>122</v>
      </c>
      <c r="AK7" s="3" t="s">
        <v>164</v>
      </c>
    </row>
    <row r="8" spans="1:37" x14ac:dyDescent="0.2">
      <c r="A8" s="3" t="s">
        <v>114</v>
      </c>
      <c r="B8" s="3" t="s">
        <v>202</v>
      </c>
      <c r="C8" s="3">
        <v>33403</v>
      </c>
      <c r="D8" s="3">
        <v>1.2430000000000001</v>
      </c>
      <c r="E8" s="41">
        <v>45572</v>
      </c>
      <c r="F8" s="41"/>
      <c r="G8" s="3" t="b">
        <v>1</v>
      </c>
      <c r="J8" s="3">
        <v>50000000</v>
      </c>
      <c r="K8" s="3">
        <v>1000000</v>
      </c>
      <c r="M8" s="3">
        <v>0</v>
      </c>
      <c r="N8" s="3">
        <v>-1</v>
      </c>
      <c r="O8" s="3">
        <v>11</v>
      </c>
      <c r="P8" s="3">
        <v>130</v>
      </c>
      <c r="R8" s="3">
        <v>7928</v>
      </c>
      <c r="S8" s="3" t="s">
        <v>197</v>
      </c>
      <c r="T8" s="3">
        <v>0.15</v>
      </c>
      <c r="X8" s="3" t="s">
        <v>203</v>
      </c>
      <c r="Y8" s="3" t="s">
        <v>204</v>
      </c>
      <c r="Z8" s="3" t="s">
        <v>202</v>
      </c>
      <c r="AA8" s="3">
        <v>0.15</v>
      </c>
      <c r="AB8" s="3" t="s">
        <v>212</v>
      </c>
      <c r="AD8" s="3">
        <v>0</v>
      </c>
      <c r="AG8" s="3">
        <v>3</v>
      </c>
      <c r="AH8" s="3" t="s">
        <v>206</v>
      </c>
      <c r="AI8" s="3" t="s">
        <v>163</v>
      </c>
      <c r="AJ8" s="3" t="s">
        <v>122</v>
      </c>
      <c r="AK8" s="3" t="s">
        <v>164</v>
      </c>
    </row>
    <row r="9" spans="1:37" x14ac:dyDescent="0.2">
      <c r="A9" s="3" t="s">
        <v>114</v>
      </c>
      <c r="B9" s="3" t="s">
        <v>213</v>
      </c>
      <c r="C9" s="3">
        <v>33404</v>
      </c>
      <c r="D9" s="3">
        <v>347</v>
      </c>
      <c r="E9" s="41">
        <v>45573</v>
      </c>
      <c r="F9" s="41"/>
      <c r="G9" s="3" t="b">
        <v>1</v>
      </c>
      <c r="J9" s="3">
        <v>1000000000000</v>
      </c>
      <c r="K9" s="3">
        <v>9700000000</v>
      </c>
      <c r="M9" s="3">
        <v>0</v>
      </c>
      <c r="N9" s="3">
        <v>0</v>
      </c>
      <c r="O9" s="3">
        <v>55</v>
      </c>
      <c r="P9" s="3">
        <v>75</v>
      </c>
      <c r="R9" s="3">
        <v>7932</v>
      </c>
      <c r="S9" s="3" t="s">
        <v>197</v>
      </c>
      <c r="T9" s="3">
        <v>100</v>
      </c>
      <c r="X9" s="3" t="s">
        <v>214</v>
      </c>
      <c r="Y9" s="3" t="s">
        <v>199</v>
      </c>
      <c r="Z9" s="3" t="s">
        <v>213</v>
      </c>
      <c r="AA9" s="3">
        <v>1</v>
      </c>
      <c r="AB9" s="3" t="s">
        <v>215</v>
      </c>
      <c r="AD9" s="3">
        <v>0</v>
      </c>
      <c r="AG9" s="3">
        <v>16</v>
      </c>
      <c r="AH9" s="3" t="s">
        <v>201</v>
      </c>
      <c r="AI9" s="3" t="s">
        <v>163</v>
      </c>
      <c r="AJ9" s="3" t="s">
        <v>122</v>
      </c>
      <c r="AK9" s="3" t="s">
        <v>164</v>
      </c>
    </row>
    <row r="10" spans="1:37" x14ac:dyDescent="0.2">
      <c r="A10" s="3" t="s">
        <v>115</v>
      </c>
      <c r="B10" s="3" t="s">
        <v>202</v>
      </c>
      <c r="C10" s="3">
        <v>33405</v>
      </c>
      <c r="D10" s="3">
        <v>3.181</v>
      </c>
      <c r="E10" s="41">
        <v>45572</v>
      </c>
      <c r="F10" s="41"/>
      <c r="G10" s="3" t="b">
        <v>1</v>
      </c>
      <c r="J10" s="3">
        <v>50000000</v>
      </c>
      <c r="K10" s="3">
        <v>1000000</v>
      </c>
      <c r="M10" s="3">
        <v>0</v>
      </c>
      <c r="N10" s="3">
        <v>-1</v>
      </c>
      <c r="O10" s="3">
        <v>11</v>
      </c>
      <c r="P10" s="3">
        <v>130</v>
      </c>
      <c r="R10" s="3">
        <v>7928</v>
      </c>
      <c r="S10" s="3" t="s">
        <v>197</v>
      </c>
      <c r="T10" s="3">
        <v>0.15</v>
      </c>
      <c r="X10" s="3" t="s">
        <v>203</v>
      </c>
      <c r="Y10" s="3" t="s">
        <v>204</v>
      </c>
      <c r="Z10" s="3" t="s">
        <v>202</v>
      </c>
      <c r="AA10" s="3">
        <v>0.15</v>
      </c>
      <c r="AB10" s="3" t="s">
        <v>216</v>
      </c>
      <c r="AD10" s="3">
        <v>0</v>
      </c>
      <c r="AG10" s="3">
        <v>3</v>
      </c>
      <c r="AH10" s="3" t="s">
        <v>206</v>
      </c>
      <c r="AI10" s="3" t="s">
        <v>163</v>
      </c>
      <c r="AJ10" s="3" t="s">
        <v>122</v>
      </c>
      <c r="AK10" s="3" t="s">
        <v>164</v>
      </c>
    </row>
    <row r="11" spans="1:37" x14ac:dyDescent="0.2">
      <c r="A11" s="3" t="s">
        <v>115</v>
      </c>
      <c r="B11" s="3" t="s">
        <v>217</v>
      </c>
      <c r="C11" s="3">
        <v>33406</v>
      </c>
      <c r="D11" s="3">
        <v>0</v>
      </c>
      <c r="E11" s="41">
        <v>45573</v>
      </c>
      <c r="F11" s="41"/>
      <c r="G11" s="3" t="b">
        <v>1</v>
      </c>
      <c r="I11" s="3">
        <v>19</v>
      </c>
      <c r="J11" s="3">
        <v>10000000000</v>
      </c>
      <c r="K11" s="3">
        <v>9700000000</v>
      </c>
      <c r="M11" s="3">
        <v>0</v>
      </c>
      <c r="N11" s="3">
        <v>0</v>
      </c>
      <c r="O11" s="3">
        <v>53</v>
      </c>
      <c r="P11" s="3">
        <v>50</v>
      </c>
      <c r="R11" s="3">
        <v>7931</v>
      </c>
      <c r="S11" s="3" t="s">
        <v>197</v>
      </c>
      <c r="T11" s="3">
        <v>100</v>
      </c>
      <c r="X11" s="3" t="s">
        <v>218</v>
      </c>
      <c r="Y11" s="3" t="s">
        <v>199</v>
      </c>
      <c r="Z11" s="3" t="s">
        <v>217</v>
      </c>
      <c r="AA11" s="3">
        <v>1</v>
      </c>
      <c r="AB11" s="3" t="s">
        <v>205</v>
      </c>
      <c r="AC11" s="3" t="s">
        <v>219</v>
      </c>
      <c r="AD11" s="3">
        <v>0</v>
      </c>
      <c r="AG11" s="3">
        <v>11</v>
      </c>
      <c r="AH11" s="3" t="s">
        <v>201</v>
      </c>
      <c r="AI11" s="3" t="s">
        <v>163</v>
      </c>
      <c r="AJ11" s="3" t="s">
        <v>122</v>
      </c>
      <c r="AK11" s="3" t="s">
        <v>164</v>
      </c>
    </row>
    <row r="12" spans="1:37" x14ac:dyDescent="0.2">
      <c r="A12" s="3" t="s">
        <v>115</v>
      </c>
      <c r="B12" s="3" t="s">
        <v>208</v>
      </c>
      <c r="C12" s="3">
        <v>33407</v>
      </c>
      <c r="D12" s="3">
        <v>0</v>
      </c>
      <c r="E12" s="41">
        <v>45574</v>
      </c>
      <c r="F12" s="41"/>
      <c r="G12" s="3" t="b">
        <v>1</v>
      </c>
      <c r="I12" s="3">
        <v>19</v>
      </c>
      <c r="J12" s="3">
        <v>100000000000</v>
      </c>
      <c r="K12" s="3">
        <v>9700000000</v>
      </c>
      <c r="M12" s="3">
        <v>0</v>
      </c>
      <c r="N12" s="3">
        <v>0</v>
      </c>
      <c r="O12" s="3">
        <v>54</v>
      </c>
      <c r="P12" s="3">
        <v>50</v>
      </c>
      <c r="R12" s="3">
        <v>7936</v>
      </c>
      <c r="S12" s="3" t="s">
        <v>197</v>
      </c>
      <c r="T12" s="3">
        <v>100</v>
      </c>
      <c r="X12" s="3" t="s">
        <v>209</v>
      </c>
      <c r="Y12" s="3" t="s">
        <v>199</v>
      </c>
      <c r="Z12" s="3" t="s">
        <v>208</v>
      </c>
      <c r="AA12" s="3">
        <v>1</v>
      </c>
      <c r="AB12" s="3" t="s">
        <v>205</v>
      </c>
      <c r="AC12" s="3" t="s">
        <v>219</v>
      </c>
      <c r="AD12" s="3">
        <v>0</v>
      </c>
      <c r="AG12" s="3">
        <v>12</v>
      </c>
      <c r="AH12" s="3" t="s">
        <v>201</v>
      </c>
      <c r="AI12" s="3" t="s">
        <v>163</v>
      </c>
      <c r="AJ12" s="3" t="s">
        <v>122</v>
      </c>
      <c r="AK12" s="3" t="s">
        <v>164</v>
      </c>
    </row>
    <row r="13" spans="1:37" x14ac:dyDescent="0.2">
      <c r="A13" s="3" t="s">
        <v>115</v>
      </c>
      <c r="B13" s="3" t="s">
        <v>213</v>
      </c>
      <c r="C13" s="3">
        <v>33408</v>
      </c>
      <c r="D13" s="3">
        <v>0</v>
      </c>
      <c r="E13" s="41">
        <v>45573</v>
      </c>
      <c r="F13" s="41"/>
      <c r="G13" s="3" t="b">
        <v>1</v>
      </c>
      <c r="I13" s="3">
        <v>19</v>
      </c>
      <c r="J13" s="3">
        <v>10000000000</v>
      </c>
      <c r="K13" s="3">
        <v>9700000000</v>
      </c>
      <c r="M13" s="3">
        <v>0</v>
      </c>
      <c r="N13" s="3">
        <v>0</v>
      </c>
      <c r="O13" s="3">
        <v>55</v>
      </c>
      <c r="P13" s="3">
        <v>50</v>
      </c>
      <c r="R13" s="3">
        <v>7932</v>
      </c>
      <c r="S13" s="3" t="s">
        <v>197</v>
      </c>
      <c r="T13" s="3">
        <v>100</v>
      </c>
      <c r="X13" s="3" t="s">
        <v>214</v>
      </c>
      <c r="Y13" s="3" t="s">
        <v>199</v>
      </c>
      <c r="Z13" s="3" t="s">
        <v>213</v>
      </c>
      <c r="AA13" s="3">
        <v>1</v>
      </c>
      <c r="AB13" s="3" t="s">
        <v>205</v>
      </c>
      <c r="AC13" s="3" t="s">
        <v>219</v>
      </c>
      <c r="AD13" s="3">
        <v>0</v>
      </c>
      <c r="AG13" s="3">
        <v>16</v>
      </c>
      <c r="AH13" s="3" t="s">
        <v>201</v>
      </c>
      <c r="AI13" s="3" t="s">
        <v>163</v>
      </c>
      <c r="AJ13" s="3" t="s">
        <v>122</v>
      </c>
      <c r="AK13" s="3" t="s">
        <v>164</v>
      </c>
    </row>
    <row r="14" spans="1:37" x14ac:dyDescent="0.2">
      <c r="A14" s="3" t="s">
        <v>116</v>
      </c>
      <c r="B14" s="3" t="s">
        <v>202</v>
      </c>
      <c r="C14" s="3">
        <v>33409</v>
      </c>
      <c r="D14" s="3">
        <v>2.3125</v>
      </c>
      <c r="E14" s="41">
        <v>45572</v>
      </c>
      <c r="F14" s="41"/>
      <c r="G14" s="3" t="b">
        <v>1</v>
      </c>
      <c r="J14" s="3">
        <v>50000000</v>
      </c>
      <c r="K14" s="3">
        <v>1000000</v>
      </c>
      <c r="M14" s="3">
        <v>0</v>
      </c>
      <c r="N14" s="3">
        <v>-1</v>
      </c>
      <c r="O14" s="3">
        <v>11</v>
      </c>
      <c r="P14" s="3">
        <v>130</v>
      </c>
      <c r="R14" s="3">
        <v>7928</v>
      </c>
      <c r="S14" s="3" t="s">
        <v>197</v>
      </c>
      <c r="T14" s="3">
        <v>0.15</v>
      </c>
      <c r="X14" s="3" t="s">
        <v>203</v>
      </c>
      <c r="Y14" s="3" t="s">
        <v>204</v>
      </c>
      <c r="Z14" s="3" t="s">
        <v>202</v>
      </c>
      <c r="AA14" s="3">
        <v>0.15</v>
      </c>
      <c r="AB14" s="3" t="s">
        <v>220</v>
      </c>
      <c r="AD14" s="3">
        <v>0</v>
      </c>
      <c r="AG14" s="3">
        <v>3</v>
      </c>
      <c r="AH14" s="3" t="s">
        <v>206</v>
      </c>
      <c r="AI14" s="3" t="s">
        <v>163</v>
      </c>
      <c r="AJ14" s="3" t="s">
        <v>122</v>
      </c>
      <c r="AK14" s="3" t="s">
        <v>164</v>
      </c>
    </row>
    <row r="15" spans="1:37" x14ac:dyDescent="0.2">
      <c r="A15" s="3" t="s">
        <v>117</v>
      </c>
      <c r="B15" s="3" t="s">
        <v>202</v>
      </c>
      <c r="C15" s="3">
        <v>33410</v>
      </c>
      <c r="D15" s="3">
        <v>0.19350000000000001</v>
      </c>
      <c r="E15" s="41">
        <v>45572</v>
      </c>
      <c r="F15" s="41"/>
      <c r="G15" s="3" t="b">
        <v>1</v>
      </c>
      <c r="J15" s="3">
        <v>50000000</v>
      </c>
      <c r="K15" s="3">
        <v>1000000</v>
      </c>
      <c r="M15" s="3">
        <v>0</v>
      </c>
      <c r="N15" s="3">
        <v>-1</v>
      </c>
      <c r="O15" s="3">
        <v>11</v>
      </c>
      <c r="P15" s="3">
        <v>130</v>
      </c>
      <c r="R15" s="3">
        <v>7928</v>
      </c>
      <c r="S15" s="3" t="s">
        <v>197</v>
      </c>
      <c r="T15" s="3">
        <v>0.15</v>
      </c>
      <c r="X15" s="3" t="s">
        <v>203</v>
      </c>
      <c r="Y15" s="3" t="s">
        <v>204</v>
      </c>
      <c r="Z15" s="3" t="s">
        <v>202</v>
      </c>
      <c r="AA15" s="3">
        <v>0.15</v>
      </c>
      <c r="AB15" s="3" t="s">
        <v>221</v>
      </c>
      <c r="AD15" s="3">
        <v>0</v>
      </c>
      <c r="AG15" s="3">
        <v>3</v>
      </c>
      <c r="AH15" s="3" t="s">
        <v>206</v>
      </c>
      <c r="AI15" s="3" t="s">
        <v>163</v>
      </c>
      <c r="AJ15" s="3" t="s">
        <v>122</v>
      </c>
      <c r="AK15" s="3" t="s">
        <v>164</v>
      </c>
    </row>
    <row r="16" spans="1:37" x14ac:dyDescent="0.2">
      <c r="A16" s="3" t="s">
        <v>118</v>
      </c>
      <c r="B16" s="3" t="s">
        <v>202</v>
      </c>
      <c r="C16" s="3">
        <v>33411</v>
      </c>
      <c r="D16" s="3">
        <v>3.73</v>
      </c>
      <c r="E16" s="41">
        <v>45573</v>
      </c>
      <c r="F16" s="41"/>
      <c r="G16" s="3" t="b">
        <v>1</v>
      </c>
      <c r="J16" s="3">
        <v>50000000</v>
      </c>
      <c r="K16" s="3">
        <v>1000000</v>
      </c>
      <c r="M16" s="3">
        <v>0</v>
      </c>
      <c r="N16" s="3">
        <v>-1</v>
      </c>
      <c r="O16" s="3">
        <v>11</v>
      </c>
      <c r="P16" s="3">
        <v>130</v>
      </c>
      <c r="R16" s="3">
        <v>7935</v>
      </c>
      <c r="S16" s="3" t="s">
        <v>197</v>
      </c>
      <c r="T16" s="3">
        <v>1.5</v>
      </c>
      <c r="X16" s="3" t="s">
        <v>203</v>
      </c>
      <c r="Y16" s="3" t="s">
        <v>204</v>
      </c>
      <c r="Z16" s="3" t="s">
        <v>202</v>
      </c>
      <c r="AA16" s="3">
        <v>0.15</v>
      </c>
      <c r="AB16" s="3" t="s">
        <v>222</v>
      </c>
      <c r="AD16" s="3">
        <v>0</v>
      </c>
      <c r="AG16" s="3">
        <v>3</v>
      </c>
      <c r="AH16" s="3" t="s">
        <v>206</v>
      </c>
      <c r="AI16" s="3" t="s">
        <v>163</v>
      </c>
      <c r="AJ16" s="3" t="s">
        <v>122</v>
      </c>
      <c r="AK16" s="3" t="s">
        <v>164</v>
      </c>
    </row>
    <row r="17" spans="1:37" x14ac:dyDescent="0.2">
      <c r="A17" s="3" t="s">
        <v>119</v>
      </c>
      <c r="B17" s="3" t="s">
        <v>196</v>
      </c>
      <c r="C17" s="3">
        <v>33412</v>
      </c>
      <c r="D17" s="3">
        <v>6134</v>
      </c>
      <c r="E17" s="41">
        <v>45573</v>
      </c>
      <c r="F17" s="41"/>
      <c r="G17" s="3" t="b">
        <v>1</v>
      </c>
      <c r="J17" s="3">
        <v>1000000000000</v>
      </c>
      <c r="K17" s="3">
        <v>9700000000</v>
      </c>
      <c r="M17" s="3">
        <v>0</v>
      </c>
      <c r="N17" s="3">
        <v>0</v>
      </c>
      <c r="O17" s="3">
        <v>52</v>
      </c>
      <c r="P17" s="3">
        <v>75</v>
      </c>
      <c r="R17" s="3">
        <v>7933</v>
      </c>
      <c r="S17" s="3" t="s">
        <v>197</v>
      </c>
      <c r="T17" s="3">
        <v>100</v>
      </c>
      <c r="X17" s="3" t="s">
        <v>198</v>
      </c>
      <c r="Y17" s="3" t="s">
        <v>199</v>
      </c>
      <c r="Z17" s="3" t="s">
        <v>196</v>
      </c>
      <c r="AA17" s="3">
        <v>1</v>
      </c>
      <c r="AB17" s="3" t="s">
        <v>223</v>
      </c>
      <c r="AD17" s="3">
        <v>0</v>
      </c>
      <c r="AG17" s="3">
        <v>14</v>
      </c>
      <c r="AH17" s="3" t="s">
        <v>201</v>
      </c>
      <c r="AI17" s="3" t="s">
        <v>163</v>
      </c>
      <c r="AJ17" s="3" t="s">
        <v>122</v>
      </c>
      <c r="AK17" s="3" t="s">
        <v>164</v>
      </c>
    </row>
    <row r="18" spans="1:37" x14ac:dyDescent="0.2">
      <c r="A18" s="3" t="s">
        <v>120</v>
      </c>
      <c r="B18" s="3" t="s">
        <v>202</v>
      </c>
      <c r="C18" s="3">
        <v>33413</v>
      </c>
      <c r="D18" s="3">
        <v>0.13750000000000001</v>
      </c>
      <c r="E18" s="41">
        <v>45572</v>
      </c>
      <c r="F18" s="41"/>
      <c r="G18" s="3" t="b">
        <v>1</v>
      </c>
      <c r="J18" s="3">
        <v>50000000</v>
      </c>
      <c r="K18" s="3">
        <v>1000000</v>
      </c>
      <c r="M18" s="3">
        <v>0</v>
      </c>
      <c r="N18" s="3">
        <v>-1</v>
      </c>
      <c r="O18" s="3">
        <v>11</v>
      </c>
      <c r="P18" s="3">
        <v>130</v>
      </c>
      <c r="R18" s="3">
        <v>7928</v>
      </c>
      <c r="S18" s="3" t="s">
        <v>197</v>
      </c>
      <c r="T18" s="3">
        <v>0.15</v>
      </c>
      <c r="X18" s="3" t="s">
        <v>203</v>
      </c>
      <c r="Y18" s="3" t="s">
        <v>204</v>
      </c>
      <c r="Z18" s="3" t="s">
        <v>202</v>
      </c>
      <c r="AA18" s="3">
        <v>0.15</v>
      </c>
      <c r="AB18" s="3" t="s">
        <v>205</v>
      </c>
      <c r="AD18" s="3">
        <v>0</v>
      </c>
      <c r="AG18" s="3">
        <v>3</v>
      </c>
      <c r="AH18" s="3" t="s">
        <v>206</v>
      </c>
      <c r="AI18" s="3" t="s">
        <v>163</v>
      </c>
      <c r="AJ18" s="3" t="s">
        <v>122</v>
      </c>
      <c r="AK18" s="3" t="s">
        <v>164</v>
      </c>
    </row>
    <row r="19" spans="1:37" x14ac:dyDescent="0.2">
      <c r="A19" s="3" t="s">
        <v>120</v>
      </c>
      <c r="B19" s="3" t="s">
        <v>213</v>
      </c>
      <c r="C19" s="3">
        <v>33414</v>
      </c>
      <c r="D19" s="3">
        <v>0</v>
      </c>
      <c r="E19" s="41">
        <v>45573</v>
      </c>
      <c r="F19" s="41"/>
      <c r="G19" s="3" t="b">
        <v>1</v>
      </c>
      <c r="J19" s="3">
        <v>1000000000000</v>
      </c>
      <c r="K19" s="3">
        <v>9700000000</v>
      </c>
      <c r="M19" s="3">
        <v>0</v>
      </c>
      <c r="N19" s="3">
        <v>0</v>
      </c>
      <c r="O19" s="3">
        <v>55</v>
      </c>
      <c r="P19" s="3">
        <v>75</v>
      </c>
      <c r="R19" s="3">
        <v>7932</v>
      </c>
      <c r="S19" s="3" t="s">
        <v>197</v>
      </c>
      <c r="T19" s="3">
        <v>100</v>
      </c>
      <c r="X19" s="3" t="s">
        <v>214</v>
      </c>
      <c r="Y19" s="3" t="s">
        <v>199</v>
      </c>
      <c r="Z19" s="3" t="s">
        <v>213</v>
      </c>
      <c r="AA19" s="3">
        <v>1</v>
      </c>
      <c r="AB19" s="3" t="s">
        <v>205</v>
      </c>
      <c r="AD19" s="3">
        <v>0</v>
      </c>
      <c r="AG19" s="3">
        <v>16</v>
      </c>
      <c r="AH19" s="3" t="s">
        <v>201</v>
      </c>
      <c r="AI19" s="3" t="s">
        <v>163</v>
      </c>
      <c r="AJ19" s="3" t="s">
        <v>122</v>
      </c>
      <c r="AK19" s="3" t="s">
        <v>164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QCData"/>
  <dimension ref="A1:N226"/>
  <sheetViews>
    <sheetView workbookViewId="0"/>
  </sheetViews>
  <sheetFormatPr defaultColWidth="9.140625" defaultRowHeight="12.75" x14ac:dyDescent="0.2"/>
  <cols>
    <col min="1" max="12" width="9.140625" style="4"/>
    <col min="13" max="13" width="9.85546875" style="4" bestFit="1" customWidth="1"/>
    <col min="14" max="16384" width="9.140625" style="4"/>
  </cols>
  <sheetData>
    <row r="1" spans="1:14" x14ac:dyDescent="0.2">
      <c r="A1" s="6" t="s">
        <v>15</v>
      </c>
      <c r="B1" s="6" t="s">
        <v>224</v>
      </c>
      <c r="C1" s="6" t="s">
        <v>225</v>
      </c>
      <c r="D1" s="6" t="s">
        <v>226</v>
      </c>
      <c r="E1" s="6" t="s">
        <v>227</v>
      </c>
      <c r="F1" s="6" t="s">
        <v>228</v>
      </c>
      <c r="G1" s="6" t="s">
        <v>229</v>
      </c>
      <c r="H1" s="6" t="s">
        <v>230</v>
      </c>
      <c r="I1" s="6" t="s">
        <v>231</v>
      </c>
      <c r="J1" s="6" t="s">
        <v>232</v>
      </c>
      <c r="K1" s="6" t="s">
        <v>233</v>
      </c>
      <c r="L1" s="6" t="s">
        <v>234</v>
      </c>
      <c r="M1" s="6" t="s">
        <v>235</v>
      </c>
      <c r="N1" s="4" t="s">
        <v>28</v>
      </c>
    </row>
    <row r="2" spans="1:14" x14ac:dyDescent="0.2">
      <c r="A2" s="4" t="str">
        <f>B2 &amp; ":" &amp; C2</f>
        <v>Microcystins (ELISA):MC - Blank</v>
      </c>
      <c r="B2" s="4" t="s">
        <v>203</v>
      </c>
      <c r="C2" s="4" t="s">
        <v>236</v>
      </c>
      <c r="D2" s="4" t="s">
        <v>237</v>
      </c>
      <c r="E2" s="4">
        <v>0</v>
      </c>
      <c r="F2" s="4" t="s">
        <v>206</v>
      </c>
      <c r="G2" s="4" t="s">
        <v>204</v>
      </c>
      <c r="H2" s="4">
        <v>0</v>
      </c>
      <c r="I2" s="4" t="s">
        <v>238</v>
      </c>
      <c r="J2" s="4" t="s">
        <v>204</v>
      </c>
      <c r="L2" s="4">
        <v>7935</v>
      </c>
      <c r="N2" s="4" t="s">
        <v>29</v>
      </c>
    </row>
    <row r="3" spans="1:14" x14ac:dyDescent="0.2">
      <c r="A3" s="4" t="str">
        <f t="shared" ref="A3:A51" si="0">B3 &amp; ":" &amp; C3</f>
        <v>Microcystins (ELISA):MC - Blank</v>
      </c>
      <c r="B3" s="4" t="s">
        <v>203</v>
      </c>
      <c r="C3" s="4" t="s">
        <v>236</v>
      </c>
      <c r="D3" s="4" t="s">
        <v>237</v>
      </c>
      <c r="E3" s="4">
        <v>0</v>
      </c>
      <c r="F3" s="4" t="s">
        <v>206</v>
      </c>
      <c r="G3" s="4" t="s">
        <v>204</v>
      </c>
      <c r="H3" s="4">
        <v>0</v>
      </c>
      <c r="I3" s="4" t="s">
        <v>238</v>
      </c>
      <c r="J3" s="4" t="s">
        <v>204</v>
      </c>
      <c r="L3" s="4">
        <v>7928</v>
      </c>
      <c r="N3" s="4" t="s">
        <v>29</v>
      </c>
    </row>
    <row r="4" spans="1:14" x14ac:dyDescent="0.2">
      <c r="A4" s="4" t="str">
        <f t="shared" si="0"/>
        <v>Microcystins (ELISA):MC - Positive</v>
      </c>
      <c r="B4" s="4" t="s">
        <v>203</v>
      </c>
      <c r="C4" s="4" t="s">
        <v>239</v>
      </c>
      <c r="D4" s="4" t="s">
        <v>240</v>
      </c>
      <c r="E4" s="4">
        <v>100.1</v>
      </c>
      <c r="F4" s="4" t="s">
        <v>206</v>
      </c>
      <c r="G4" s="4" t="s">
        <v>241</v>
      </c>
      <c r="H4" s="4">
        <v>0.75</v>
      </c>
      <c r="I4" s="4" t="s">
        <v>242</v>
      </c>
      <c r="J4" s="4" t="s">
        <v>204</v>
      </c>
      <c r="L4" s="4">
        <v>7928</v>
      </c>
      <c r="N4" s="4" t="s">
        <v>29</v>
      </c>
    </row>
    <row r="5" spans="1:14" x14ac:dyDescent="0.2">
      <c r="A5" s="4" t="str">
        <f t="shared" si="0"/>
        <v>Microcystins (ELISA):MC - Positive</v>
      </c>
      <c r="B5" s="4" t="s">
        <v>203</v>
      </c>
      <c r="C5" s="4" t="s">
        <v>239</v>
      </c>
      <c r="D5" s="4" t="s">
        <v>243</v>
      </c>
      <c r="E5" s="4">
        <v>109.7</v>
      </c>
      <c r="F5" s="4" t="s">
        <v>206</v>
      </c>
      <c r="G5" s="4" t="s">
        <v>241</v>
      </c>
      <c r="H5" s="4">
        <v>0.82</v>
      </c>
      <c r="I5" s="4" t="s">
        <v>242</v>
      </c>
      <c r="J5" s="4" t="s">
        <v>204</v>
      </c>
      <c r="L5" s="4">
        <v>7935</v>
      </c>
      <c r="N5" s="4" t="s">
        <v>29</v>
      </c>
    </row>
    <row r="6" spans="1:14" x14ac:dyDescent="0.2">
      <c r="A6" s="4" t="str">
        <f t="shared" si="0"/>
        <v>Microcystins (ELISA):MC - Spike-1</v>
      </c>
      <c r="B6" s="4" t="s">
        <v>203</v>
      </c>
      <c r="C6" s="4" t="s">
        <v>244</v>
      </c>
      <c r="D6" s="4" t="s">
        <v>245</v>
      </c>
      <c r="E6" s="4">
        <v>94.2</v>
      </c>
      <c r="F6" s="4" t="s">
        <v>206</v>
      </c>
      <c r="G6" s="4" t="s">
        <v>241</v>
      </c>
      <c r="H6" s="4">
        <v>2.36</v>
      </c>
      <c r="I6" s="4" t="s">
        <v>246</v>
      </c>
      <c r="J6" s="4" t="s">
        <v>204</v>
      </c>
      <c r="L6" s="4">
        <v>7935</v>
      </c>
      <c r="M6" s="4" t="s">
        <v>247</v>
      </c>
      <c r="N6" s="4" t="s">
        <v>29</v>
      </c>
    </row>
    <row r="7" spans="1:14" x14ac:dyDescent="0.2">
      <c r="A7" s="4" t="str">
        <f t="shared" si="0"/>
        <v>Microcystins (ELISA):MC - Spike-1</v>
      </c>
      <c r="B7" s="4" t="s">
        <v>203</v>
      </c>
      <c r="C7" s="4" t="s">
        <v>244</v>
      </c>
      <c r="D7" s="4" t="s">
        <v>248</v>
      </c>
      <c r="E7" s="4">
        <v>126</v>
      </c>
      <c r="F7" s="4" t="s">
        <v>206</v>
      </c>
      <c r="G7" s="4" t="s">
        <v>241</v>
      </c>
      <c r="H7" s="4">
        <v>1.26</v>
      </c>
      <c r="I7" s="4" t="s">
        <v>246</v>
      </c>
      <c r="J7" s="4" t="s">
        <v>204</v>
      </c>
      <c r="L7" s="4">
        <v>7928</v>
      </c>
      <c r="M7" s="4" t="s">
        <v>249</v>
      </c>
      <c r="N7" s="4" t="s">
        <v>29</v>
      </c>
    </row>
    <row r="8" spans="1:14" x14ac:dyDescent="0.2">
      <c r="A8" s="4" t="str">
        <f t="shared" si="0"/>
        <v>Microcystins (ELISA):MC - Spike-2</v>
      </c>
      <c r="B8" s="4" t="s">
        <v>203</v>
      </c>
      <c r="C8" s="4" t="s">
        <v>250</v>
      </c>
      <c r="D8" s="4" t="s">
        <v>251</v>
      </c>
      <c r="E8" s="4">
        <v>105.5</v>
      </c>
      <c r="F8" s="4" t="s">
        <v>206</v>
      </c>
      <c r="G8" s="4" t="s">
        <v>241</v>
      </c>
      <c r="H8" s="4">
        <v>1.05</v>
      </c>
      <c r="I8" s="4" t="s">
        <v>246</v>
      </c>
      <c r="J8" s="4" t="s">
        <v>204</v>
      </c>
      <c r="L8" s="4">
        <v>7928</v>
      </c>
      <c r="M8" s="4" t="s">
        <v>252</v>
      </c>
      <c r="N8" s="4" t="s">
        <v>29</v>
      </c>
    </row>
    <row r="9" spans="1:14" x14ac:dyDescent="0.2">
      <c r="A9" s="4" t="str">
        <f t="shared" si="0"/>
        <v>Microcystins (ELISA):MC - Spike-2</v>
      </c>
      <c r="B9" s="4" t="s">
        <v>203</v>
      </c>
      <c r="C9" s="4" t="s">
        <v>250</v>
      </c>
      <c r="D9" s="4" t="s">
        <v>253</v>
      </c>
      <c r="E9" s="4">
        <v>73.7</v>
      </c>
      <c r="F9" s="4" t="s">
        <v>206</v>
      </c>
      <c r="G9" s="4" t="s">
        <v>241</v>
      </c>
      <c r="H9" s="4">
        <v>1.84</v>
      </c>
      <c r="I9" s="4" t="s">
        <v>246</v>
      </c>
      <c r="J9" s="4" t="s">
        <v>204</v>
      </c>
      <c r="L9" s="4">
        <v>7935</v>
      </c>
      <c r="M9" s="4" t="s">
        <v>144</v>
      </c>
      <c r="N9" s="4" t="s">
        <v>29</v>
      </c>
    </row>
    <row r="10" spans="1:14" x14ac:dyDescent="0.2">
      <c r="A10" s="4" t="str">
        <f t="shared" si="0"/>
        <v>Microcystins (ELISA):POS RPD</v>
      </c>
      <c r="B10" s="4" t="s">
        <v>203</v>
      </c>
      <c r="C10" s="4" t="s">
        <v>254</v>
      </c>
      <c r="D10" s="4" t="s">
        <v>255</v>
      </c>
      <c r="E10" s="4">
        <v>-9.9933377748167995</v>
      </c>
      <c r="F10" s="4" t="s">
        <v>256</v>
      </c>
      <c r="G10" s="4" t="s">
        <v>241</v>
      </c>
      <c r="L10" s="4">
        <v>7928</v>
      </c>
      <c r="N10" s="4" t="s">
        <v>29</v>
      </c>
    </row>
    <row r="11" spans="1:14" x14ac:dyDescent="0.2">
      <c r="A11" s="4" t="str">
        <f t="shared" si="0"/>
        <v>Microcystins (ELISA):POS RPD</v>
      </c>
      <c r="B11" s="4" t="s">
        <v>203</v>
      </c>
      <c r="C11" s="4" t="s">
        <v>254</v>
      </c>
      <c r="D11" s="4" t="s">
        <v>257</v>
      </c>
      <c r="E11" s="4">
        <v>13.2522796352584</v>
      </c>
      <c r="F11" s="4" t="s">
        <v>256</v>
      </c>
      <c r="G11" s="4" t="s">
        <v>241</v>
      </c>
      <c r="L11" s="4">
        <v>7935</v>
      </c>
      <c r="N11" s="4" t="s">
        <v>29</v>
      </c>
    </row>
    <row r="12" spans="1:14" x14ac:dyDescent="0.2">
      <c r="A12" s="4" t="str">
        <f t="shared" si="0"/>
        <v>Microcystins (ELISA):POS RSD</v>
      </c>
      <c r="B12" s="4" t="s">
        <v>203</v>
      </c>
      <c r="C12" s="4" t="s">
        <v>258</v>
      </c>
      <c r="D12" s="4" t="s">
        <v>259</v>
      </c>
      <c r="E12" s="4">
        <v>9.3707767962715707</v>
      </c>
      <c r="F12" s="4" t="s">
        <v>256</v>
      </c>
      <c r="G12" s="4" t="s">
        <v>241</v>
      </c>
      <c r="L12" s="4">
        <v>7935</v>
      </c>
      <c r="N12" s="4" t="s">
        <v>29</v>
      </c>
    </row>
    <row r="13" spans="1:14" x14ac:dyDescent="0.2">
      <c r="A13" s="4" t="str">
        <f t="shared" si="0"/>
        <v>Microcystins (ELISA):POS RSD</v>
      </c>
      <c r="B13" s="4" t="s">
        <v>203</v>
      </c>
      <c r="C13" s="4" t="s">
        <v>258</v>
      </c>
      <c r="D13" s="4" t="s">
        <v>260</v>
      </c>
      <c r="E13" s="4">
        <v>7.0663569072606398</v>
      </c>
      <c r="F13" s="4" t="s">
        <v>256</v>
      </c>
      <c r="G13" s="4" t="s">
        <v>241</v>
      </c>
      <c r="L13" s="4">
        <v>7928</v>
      </c>
      <c r="N13" s="4" t="s">
        <v>29</v>
      </c>
    </row>
    <row r="14" spans="1:14" x14ac:dyDescent="0.2">
      <c r="A14" s="4" t="str">
        <f t="shared" si="0"/>
        <v>Microcystins (ELISA):POS-1</v>
      </c>
      <c r="B14" s="4" t="s">
        <v>203</v>
      </c>
      <c r="C14" s="4" t="s">
        <v>261</v>
      </c>
      <c r="D14" s="4" t="s">
        <v>262</v>
      </c>
      <c r="E14" s="4">
        <v>0.76800000000000002</v>
      </c>
      <c r="F14" s="4" t="s">
        <v>256</v>
      </c>
      <c r="G14" s="4" t="s">
        <v>204</v>
      </c>
      <c r="L14" s="4">
        <v>7935</v>
      </c>
      <c r="N14" s="4" t="s">
        <v>29</v>
      </c>
    </row>
    <row r="15" spans="1:14" x14ac:dyDescent="0.2">
      <c r="A15" s="4" t="str">
        <f t="shared" si="0"/>
        <v>Microcystins (ELISA):POS-1</v>
      </c>
      <c r="B15" s="4" t="s">
        <v>203</v>
      </c>
      <c r="C15" s="4" t="s">
        <v>261</v>
      </c>
      <c r="D15" s="4" t="s">
        <v>263</v>
      </c>
      <c r="E15" s="4">
        <v>0.78800000000000003</v>
      </c>
      <c r="F15" s="4" t="s">
        <v>256</v>
      </c>
      <c r="G15" s="4" t="s">
        <v>204</v>
      </c>
      <c r="L15" s="4">
        <v>7928</v>
      </c>
      <c r="N15" s="4" t="s">
        <v>29</v>
      </c>
    </row>
    <row r="16" spans="1:14" x14ac:dyDescent="0.2">
      <c r="A16" s="4" t="str">
        <f t="shared" si="0"/>
        <v>Microcystins (ELISA):POS-2</v>
      </c>
      <c r="B16" s="4" t="s">
        <v>203</v>
      </c>
      <c r="C16" s="4" t="s">
        <v>264</v>
      </c>
      <c r="D16" s="4" t="s">
        <v>265</v>
      </c>
      <c r="E16" s="4">
        <v>0.71299999999999997</v>
      </c>
      <c r="F16" s="4" t="s">
        <v>256</v>
      </c>
      <c r="G16" s="4" t="s">
        <v>204</v>
      </c>
      <c r="L16" s="4">
        <v>7928</v>
      </c>
      <c r="N16" s="4" t="s">
        <v>29</v>
      </c>
    </row>
    <row r="17" spans="1:14" x14ac:dyDescent="0.2">
      <c r="A17" s="4" t="str">
        <f t="shared" si="0"/>
        <v>Microcystins (ELISA):POS-2</v>
      </c>
      <c r="B17" s="4" t="s">
        <v>203</v>
      </c>
      <c r="C17" s="4" t="s">
        <v>264</v>
      </c>
      <c r="D17" s="4" t="s">
        <v>266</v>
      </c>
      <c r="E17" s="4">
        <v>0.877</v>
      </c>
      <c r="F17" s="4" t="s">
        <v>256</v>
      </c>
      <c r="G17" s="4" t="s">
        <v>204</v>
      </c>
      <c r="L17" s="4">
        <v>7935</v>
      </c>
      <c r="N17" s="4" t="s">
        <v>29</v>
      </c>
    </row>
    <row r="18" spans="1:14" x14ac:dyDescent="0.2">
      <c r="A18" s="4" t="str">
        <f t="shared" si="0"/>
        <v>Microcystins (ELISA):SPC1 RPD</v>
      </c>
      <c r="B18" s="4" t="s">
        <v>203</v>
      </c>
      <c r="C18" s="4" t="s">
        <v>267</v>
      </c>
      <c r="D18" s="4" t="s">
        <v>268</v>
      </c>
      <c r="E18" s="4">
        <v>6.3667232597623098</v>
      </c>
      <c r="F18" s="4" t="s">
        <v>256</v>
      </c>
      <c r="G18" s="4" t="s">
        <v>241</v>
      </c>
      <c r="L18" s="4">
        <v>7935</v>
      </c>
      <c r="N18" s="4" t="s">
        <v>29</v>
      </c>
    </row>
    <row r="19" spans="1:14" x14ac:dyDescent="0.2">
      <c r="A19" s="4" t="str">
        <f t="shared" si="0"/>
        <v>Microcystins (ELISA):SPC1 RPD</v>
      </c>
      <c r="B19" s="4" t="s">
        <v>203</v>
      </c>
      <c r="C19" s="4" t="s">
        <v>267</v>
      </c>
      <c r="D19" s="4" t="s">
        <v>269</v>
      </c>
      <c r="E19" s="4">
        <v>-0.15876165905933701</v>
      </c>
      <c r="F19" s="4" t="s">
        <v>256</v>
      </c>
      <c r="G19" s="4" t="s">
        <v>241</v>
      </c>
      <c r="L19" s="4">
        <v>7928</v>
      </c>
      <c r="N19" s="4" t="s">
        <v>29</v>
      </c>
    </row>
    <row r="20" spans="1:14" x14ac:dyDescent="0.2">
      <c r="A20" s="4" t="str">
        <f t="shared" si="0"/>
        <v>Microcystins (ELISA):SPC1-1</v>
      </c>
      <c r="B20" s="4" t="s">
        <v>203</v>
      </c>
      <c r="C20" s="4" t="s">
        <v>270</v>
      </c>
      <c r="D20" s="4" t="s">
        <v>271</v>
      </c>
      <c r="E20" s="4">
        <v>2.2810000000000001</v>
      </c>
      <c r="F20" s="4" t="s">
        <v>256</v>
      </c>
      <c r="G20" s="4" t="s">
        <v>204</v>
      </c>
      <c r="L20" s="4">
        <v>7935</v>
      </c>
      <c r="M20" s="4" t="s">
        <v>247</v>
      </c>
      <c r="N20" s="4" t="s">
        <v>29</v>
      </c>
    </row>
    <row r="21" spans="1:14" x14ac:dyDescent="0.2">
      <c r="A21" s="4" t="str">
        <f t="shared" si="0"/>
        <v>Microcystins (ELISA):SPC1-2</v>
      </c>
      <c r="B21" s="4" t="s">
        <v>203</v>
      </c>
      <c r="C21" s="4" t="s">
        <v>272</v>
      </c>
      <c r="D21" s="4" t="s">
        <v>273</v>
      </c>
      <c r="E21" s="4">
        <v>2.431</v>
      </c>
      <c r="F21" s="4" t="s">
        <v>256</v>
      </c>
      <c r="G21" s="4" t="s">
        <v>204</v>
      </c>
      <c r="L21" s="4">
        <v>7935</v>
      </c>
      <c r="M21" s="4" t="s">
        <v>247</v>
      </c>
      <c r="N21" s="4" t="s">
        <v>29</v>
      </c>
    </row>
    <row r="22" spans="1:14" x14ac:dyDescent="0.2">
      <c r="A22" s="4" t="str">
        <f t="shared" si="0"/>
        <v>Microcystins (ELISA):SPC2 RPD</v>
      </c>
      <c r="B22" s="4" t="s">
        <v>203</v>
      </c>
      <c r="C22" s="4" t="s">
        <v>274</v>
      </c>
      <c r="D22" s="4" t="s">
        <v>275</v>
      </c>
      <c r="E22" s="4">
        <v>35.1505288852726</v>
      </c>
      <c r="F22" s="4" t="s">
        <v>256</v>
      </c>
      <c r="G22" s="4" t="s">
        <v>241</v>
      </c>
      <c r="L22" s="4">
        <v>7935</v>
      </c>
      <c r="N22" s="4" t="s">
        <v>29</v>
      </c>
    </row>
    <row r="23" spans="1:14" x14ac:dyDescent="0.2">
      <c r="A23" s="4" t="str">
        <f t="shared" si="0"/>
        <v>Microcystins (ELISA):SPC2 RPD</v>
      </c>
      <c r="B23" s="4" t="s">
        <v>203</v>
      </c>
      <c r="C23" s="4" t="s">
        <v>274</v>
      </c>
      <c r="D23" s="4" t="s">
        <v>276</v>
      </c>
      <c r="E23" s="4">
        <v>6.5433854907539102</v>
      </c>
      <c r="F23" s="4" t="s">
        <v>256</v>
      </c>
      <c r="G23" s="4" t="s">
        <v>241</v>
      </c>
      <c r="L23" s="4">
        <v>7928</v>
      </c>
      <c r="N23" s="4" t="s">
        <v>29</v>
      </c>
    </row>
    <row r="24" spans="1:14" x14ac:dyDescent="0.2">
      <c r="A24" s="4" t="str">
        <f t="shared" si="0"/>
        <v>Microcystins (ELISA):SPC2-1</v>
      </c>
      <c r="B24" s="4" t="s">
        <v>203</v>
      </c>
      <c r="C24" s="4" t="s">
        <v>277</v>
      </c>
      <c r="D24" s="4" t="s">
        <v>278</v>
      </c>
      <c r="E24" s="4">
        <v>1.02</v>
      </c>
      <c r="F24" s="4" t="s">
        <v>256</v>
      </c>
      <c r="G24" s="4" t="s">
        <v>204</v>
      </c>
      <c r="L24" s="4">
        <v>7928</v>
      </c>
      <c r="M24" s="4" t="s">
        <v>252</v>
      </c>
      <c r="N24" s="4" t="s">
        <v>29</v>
      </c>
    </row>
    <row r="25" spans="1:14" x14ac:dyDescent="0.2">
      <c r="A25" s="4" t="str">
        <f t="shared" si="0"/>
        <v>Microcystins (ELISA):SPC2-2</v>
      </c>
      <c r="B25" s="4" t="s">
        <v>203</v>
      </c>
      <c r="C25" s="4" t="s">
        <v>279</v>
      </c>
      <c r="D25" s="4" t="s">
        <v>280</v>
      </c>
      <c r="E25" s="4">
        <v>1.089</v>
      </c>
      <c r="F25" s="4" t="s">
        <v>256</v>
      </c>
      <c r="G25" s="4" t="s">
        <v>204</v>
      </c>
      <c r="L25" s="4">
        <v>7928</v>
      </c>
      <c r="M25" s="4" t="s">
        <v>252</v>
      </c>
      <c r="N25" s="4" t="s">
        <v>29</v>
      </c>
    </row>
    <row r="26" spans="1:14" x14ac:dyDescent="0.2">
      <c r="A26" s="4" t="str">
        <f t="shared" si="0"/>
        <v>qPCR-anaC:anaC - Blank</v>
      </c>
      <c r="B26" s="4" t="s">
        <v>218</v>
      </c>
      <c r="C26" s="4" t="s">
        <v>281</v>
      </c>
      <c r="D26" s="4" t="s">
        <v>238</v>
      </c>
      <c r="E26" s="4">
        <v>0</v>
      </c>
      <c r="F26" s="4" t="s">
        <v>201</v>
      </c>
      <c r="G26" s="4" t="s">
        <v>282</v>
      </c>
      <c r="H26" s="4">
        <v>0</v>
      </c>
      <c r="I26" s="4" t="s">
        <v>238</v>
      </c>
      <c r="J26" s="4" t="s">
        <v>282</v>
      </c>
      <c r="L26" s="4">
        <v>7931</v>
      </c>
      <c r="N26" s="4" t="s">
        <v>29</v>
      </c>
    </row>
    <row r="27" spans="1:14" x14ac:dyDescent="0.2">
      <c r="A27" s="4" t="str">
        <f t="shared" si="0"/>
        <v>qPCR-anaC:anaC - Spike</v>
      </c>
      <c r="B27" s="4" t="s">
        <v>218</v>
      </c>
      <c r="C27" s="4" t="s">
        <v>283</v>
      </c>
      <c r="D27" s="4" t="s">
        <v>284</v>
      </c>
      <c r="E27" s="4">
        <v>122.9</v>
      </c>
      <c r="F27" s="4" t="s">
        <v>201</v>
      </c>
      <c r="G27" s="4" t="s">
        <v>241</v>
      </c>
      <c r="H27" s="4">
        <v>61455</v>
      </c>
      <c r="I27" s="4" t="s">
        <v>285</v>
      </c>
      <c r="J27" s="4" t="s">
        <v>282</v>
      </c>
      <c r="L27" s="4">
        <v>7931</v>
      </c>
      <c r="M27" s="4" t="s">
        <v>286</v>
      </c>
      <c r="N27" s="4" t="s">
        <v>29</v>
      </c>
    </row>
    <row r="28" spans="1:14" x14ac:dyDescent="0.2">
      <c r="A28" s="4" t="str">
        <f t="shared" si="0"/>
        <v>qPCR-anaC:anaC - Spike</v>
      </c>
      <c r="B28" s="4" t="s">
        <v>218</v>
      </c>
      <c r="C28" s="4" t="s">
        <v>283</v>
      </c>
      <c r="D28" s="4" t="s">
        <v>287</v>
      </c>
      <c r="E28" s="4">
        <v>140.9</v>
      </c>
      <c r="F28" s="4" t="s">
        <v>201</v>
      </c>
      <c r="G28" s="4" t="s">
        <v>241</v>
      </c>
      <c r="H28" s="4">
        <v>70425</v>
      </c>
      <c r="I28" s="4" t="s">
        <v>285</v>
      </c>
      <c r="J28" s="4" t="s">
        <v>282</v>
      </c>
      <c r="L28" s="4">
        <v>7931</v>
      </c>
      <c r="M28" s="4" t="s">
        <v>135</v>
      </c>
      <c r="N28" s="4" t="s">
        <v>29</v>
      </c>
    </row>
    <row r="29" spans="1:14" x14ac:dyDescent="0.2">
      <c r="A29" s="4" t="str">
        <f t="shared" si="0"/>
        <v>qPCR-anaC:anaC - Spike</v>
      </c>
      <c r="B29" s="4" t="s">
        <v>218</v>
      </c>
      <c r="C29" s="4" t="s">
        <v>283</v>
      </c>
      <c r="D29" s="4" t="s">
        <v>288</v>
      </c>
      <c r="E29" s="4">
        <v>107.2</v>
      </c>
      <c r="F29" s="4" t="s">
        <v>201</v>
      </c>
      <c r="G29" s="4" t="s">
        <v>241</v>
      </c>
      <c r="H29" s="4">
        <v>53588</v>
      </c>
      <c r="I29" s="4" t="s">
        <v>285</v>
      </c>
      <c r="J29" s="4" t="s">
        <v>282</v>
      </c>
      <c r="L29" s="4">
        <v>7931</v>
      </c>
      <c r="M29" s="4" t="s">
        <v>289</v>
      </c>
      <c r="N29" s="4" t="s">
        <v>29</v>
      </c>
    </row>
    <row r="30" spans="1:14" x14ac:dyDescent="0.2">
      <c r="A30" s="4" t="str">
        <f t="shared" si="0"/>
        <v>qPCR-anaC:anaC-Spike RPD</v>
      </c>
      <c r="B30" s="4" t="s">
        <v>218</v>
      </c>
      <c r="C30" s="4" t="s">
        <v>290</v>
      </c>
      <c r="D30" s="4" t="s">
        <v>291</v>
      </c>
      <c r="E30" s="4">
        <v>0.16</v>
      </c>
      <c r="F30" s="4" t="s">
        <v>256</v>
      </c>
      <c r="G30" s="4" t="s">
        <v>241</v>
      </c>
      <c r="L30" s="4">
        <v>7931</v>
      </c>
      <c r="M30" s="4" t="s">
        <v>289</v>
      </c>
      <c r="N30" s="4" t="s">
        <v>29</v>
      </c>
    </row>
    <row r="31" spans="1:14" x14ac:dyDescent="0.2">
      <c r="A31" s="4" t="str">
        <f t="shared" si="0"/>
        <v>qPCR-anaC:anaC-Spike RPD</v>
      </c>
      <c r="B31" s="4" t="s">
        <v>218</v>
      </c>
      <c r="C31" s="4" t="s">
        <v>290</v>
      </c>
      <c r="D31" s="4" t="s">
        <v>292</v>
      </c>
      <c r="E31" s="4">
        <v>2.15</v>
      </c>
      <c r="F31" s="4" t="s">
        <v>256</v>
      </c>
      <c r="G31" s="4" t="s">
        <v>241</v>
      </c>
      <c r="L31" s="4">
        <v>7931</v>
      </c>
      <c r="M31" s="4" t="s">
        <v>135</v>
      </c>
      <c r="N31" s="4" t="s">
        <v>29</v>
      </c>
    </row>
    <row r="32" spans="1:14" x14ac:dyDescent="0.2">
      <c r="A32" s="4" t="str">
        <f t="shared" si="0"/>
        <v>qPCR-anaC:anaC-Spike RPD</v>
      </c>
      <c r="B32" s="4" t="s">
        <v>218</v>
      </c>
      <c r="C32" s="4" t="s">
        <v>290</v>
      </c>
      <c r="D32" s="4" t="s">
        <v>293</v>
      </c>
      <c r="E32" s="4">
        <v>2.29</v>
      </c>
      <c r="F32" s="4" t="s">
        <v>256</v>
      </c>
      <c r="G32" s="4" t="s">
        <v>241</v>
      </c>
      <c r="L32" s="4">
        <v>7931</v>
      </c>
      <c r="M32" s="4" t="s">
        <v>286</v>
      </c>
      <c r="N32" s="4" t="s">
        <v>29</v>
      </c>
    </row>
    <row r="33" spans="1:14" x14ac:dyDescent="0.2">
      <c r="A33" s="4" t="str">
        <f t="shared" si="0"/>
        <v>qPCR-cyrA:cyrA - Blank</v>
      </c>
      <c r="B33" s="4" t="s">
        <v>209</v>
      </c>
      <c r="C33" s="4" t="s">
        <v>294</v>
      </c>
      <c r="D33" s="4" t="s">
        <v>238</v>
      </c>
      <c r="E33" s="4">
        <v>0</v>
      </c>
      <c r="F33" s="4" t="s">
        <v>201</v>
      </c>
      <c r="G33" s="4" t="s">
        <v>282</v>
      </c>
      <c r="H33" s="4">
        <v>0</v>
      </c>
      <c r="I33" s="4" t="s">
        <v>238</v>
      </c>
      <c r="J33" s="4" t="s">
        <v>282</v>
      </c>
      <c r="L33" s="4">
        <v>7936</v>
      </c>
      <c r="N33" s="4" t="s">
        <v>29</v>
      </c>
    </row>
    <row r="34" spans="1:14" x14ac:dyDescent="0.2">
      <c r="A34" s="4" t="str">
        <f t="shared" si="0"/>
        <v>qPCR-cyrA:cyrA - Spike</v>
      </c>
      <c r="B34" s="4" t="s">
        <v>209</v>
      </c>
      <c r="C34" s="4" t="s">
        <v>295</v>
      </c>
      <c r="D34" s="4" t="s">
        <v>296</v>
      </c>
      <c r="E34" s="4">
        <v>119</v>
      </c>
      <c r="F34" s="4" t="s">
        <v>201</v>
      </c>
      <c r="G34" s="4" t="s">
        <v>241</v>
      </c>
      <c r="H34" s="4">
        <v>59482</v>
      </c>
      <c r="I34" s="4" t="s">
        <v>285</v>
      </c>
      <c r="J34" s="4" t="s">
        <v>282</v>
      </c>
      <c r="L34" s="4">
        <v>7936</v>
      </c>
      <c r="M34" s="4" t="s">
        <v>297</v>
      </c>
      <c r="N34" s="4" t="s">
        <v>29</v>
      </c>
    </row>
    <row r="35" spans="1:14" x14ac:dyDescent="0.2">
      <c r="A35" s="4" t="str">
        <f t="shared" si="0"/>
        <v>qPCR-cyrA:cyrA - Spike</v>
      </c>
      <c r="B35" s="4" t="s">
        <v>209</v>
      </c>
      <c r="C35" s="4" t="s">
        <v>295</v>
      </c>
      <c r="D35" s="4" t="s">
        <v>298</v>
      </c>
      <c r="E35" s="4">
        <v>54.4</v>
      </c>
      <c r="F35" s="4" t="s">
        <v>201</v>
      </c>
      <c r="G35" s="4" t="s">
        <v>241</v>
      </c>
      <c r="H35" s="4">
        <v>27208</v>
      </c>
      <c r="I35" s="4" t="s">
        <v>285</v>
      </c>
      <c r="J35" s="4" t="s">
        <v>282</v>
      </c>
      <c r="L35" s="4">
        <v>7936</v>
      </c>
      <c r="M35" s="4" t="s">
        <v>299</v>
      </c>
      <c r="N35" s="4" t="s">
        <v>29</v>
      </c>
    </row>
    <row r="36" spans="1:14" x14ac:dyDescent="0.2">
      <c r="A36" s="4" t="str">
        <f t="shared" si="0"/>
        <v>qPCR-cyrA:cyrA-Spike RPD</v>
      </c>
      <c r="B36" s="4" t="s">
        <v>209</v>
      </c>
      <c r="C36" s="4" t="s">
        <v>300</v>
      </c>
      <c r="D36" s="4" t="s">
        <v>301</v>
      </c>
      <c r="E36" s="4">
        <v>-2.37</v>
      </c>
      <c r="F36" s="4" t="s">
        <v>256</v>
      </c>
      <c r="G36" s="4" t="s">
        <v>241</v>
      </c>
      <c r="L36" s="4">
        <v>7936</v>
      </c>
      <c r="M36" s="4" t="s">
        <v>297</v>
      </c>
      <c r="N36" s="4" t="s">
        <v>29</v>
      </c>
    </row>
    <row r="37" spans="1:14" x14ac:dyDescent="0.2">
      <c r="A37" s="4" t="str">
        <f t="shared" si="0"/>
        <v>qPCR-cyrA:cyrA-Spike RPD</v>
      </c>
      <c r="B37" s="4" t="s">
        <v>209</v>
      </c>
      <c r="C37" s="4" t="s">
        <v>300</v>
      </c>
      <c r="D37" s="4" t="s">
        <v>302</v>
      </c>
      <c r="E37" s="4">
        <v>-4.63</v>
      </c>
      <c r="F37" s="4" t="s">
        <v>256</v>
      </c>
      <c r="G37" s="4" t="s">
        <v>241</v>
      </c>
      <c r="L37" s="4">
        <v>7936</v>
      </c>
      <c r="M37" s="4" t="s">
        <v>299</v>
      </c>
      <c r="N37" s="4" t="s">
        <v>29</v>
      </c>
    </row>
    <row r="38" spans="1:14" x14ac:dyDescent="0.2">
      <c r="A38" s="4" t="str">
        <f t="shared" si="0"/>
        <v>qPCR-mcyE:mcyE - Blank</v>
      </c>
      <c r="B38" s="4" t="s">
        <v>198</v>
      </c>
      <c r="C38" s="4" t="s">
        <v>303</v>
      </c>
      <c r="D38" s="4" t="s">
        <v>238</v>
      </c>
      <c r="E38" s="4">
        <v>0</v>
      </c>
      <c r="F38" s="4" t="s">
        <v>201</v>
      </c>
      <c r="G38" s="4" t="s">
        <v>282</v>
      </c>
      <c r="H38" s="4">
        <v>0</v>
      </c>
      <c r="I38" s="4" t="s">
        <v>238</v>
      </c>
      <c r="J38" s="4" t="s">
        <v>282</v>
      </c>
      <c r="L38" s="4">
        <v>7933</v>
      </c>
      <c r="N38" s="4" t="s">
        <v>29</v>
      </c>
    </row>
    <row r="39" spans="1:14" x14ac:dyDescent="0.2">
      <c r="A39" s="4" t="str">
        <f t="shared" si="0"/>
        <v>qPCR-mcyE:mcyE - Spike</v>
      </c>
      <c r="B39" s="4" t="s">
        <v>198</v>
      </c>
      <c r="C39" s="4" t="s">
        <v>304</v>
      </c>
      <c r="D39" s="4" t="s">
        <v>305</v>
      </c>
      <c r="E39" s="4">
        <v>104.8</v>
      </c>
      <c r="F39" s="4" t="s">
        <v>201</v>
      </c>
      <c r="G39" s="4" t="s">
        <v>241</v>
      </c>
      <c r="H39" s="4">
        <v>52404</v>
      </c>
      <c r="I39" s="4" t="s">
        <v>285</v>
      </c>
      <c r="J39" s="4" t="s">
        <v>282</v>
      </c>
      <c r="L39" s="4">
        <v>7933</v>
      </c>
      <c r="M39" s="4" t="s">
        <v>289</v>
      </c>
      <c r="N39" s="4" t="s">
        <v>29</v>
      </c>
    </row>
    <row r="40" spans="1:14" x14ac:dyDescent="0.2">
      <c r="A40" s="4" t="str">
        <f t="shared" si="0"/>
        <v>qPCR-mcyE:mcyE - Spike</v>
      </c>
      <c r="B40" s="4" t="s">
        <v>198</v>
      </c>
      <c r="C40" s="4" t="s">
        <v>304</v>
      </c>
      <c r="D40" s="4" t="s">
        <v>306</v>
      </c>
      <c r="E40" s="4">
        <v>131.1</v>
      </c>
      <c r="F40" s="4" t="s">
        <v>201</v>
      </c>
      <c r="G40" s="4" t="s">
        <v>241</v>
      </c>
      <c r="H40" s="4">
        <v>65547</v>
      </c>
      <c r="I40" s="4" t="s">
        <v>285</v>
      </c>
      <c r="J40" s="4" t="s">
        <v>282</v>
      </c>
      <c r="L40" s="4">
        <v>7933</v>
      </c>
      <c r="M40" s="4" t="s">
        <v>135</v>
      </c>
      <c r="N40" s="4" t="s">
        <v>29</v>
      </c>
    </row>
    <row r="41" spans="1:14" x14ac:dyDescent="0.2">
      <c r="A41" s="4" t="str">
        <f t="shared" si="0"/>
        <v>qPCR-mcyE:mcyE - Spike</v>
      </c>
      <c r="B41" s="4" t="s">
        <v>198</v>
      </c>
      <c r="C41" s="4" t="s">
        <v>304</v>
      </c>
      <c r="D41" s="4" t="s">
        <v>307</v>
      </c>
      <c r="E41" s="4">
        <v>128.30000000000001</v>
      </c>
      <c r="F41" s="4" t="s">
        <v>201</v>
      </c>
      <c r="G41" s="4" t="s">
        <v>241</v>
      </c>
      <c r="H41" s="4">
        <v>64166</v>
      </c>
      <c r="I41" s="4" t="s">
        <v>285</v>
      </c>
      <c r="J41" s="4" t="s">
        <v>282</v>
      </c>
      <c r="L41" s="4">
        <v>7933</v>
      </c>
      <c r="M41" s="4" t="s">
        <v>286</v>
      </c>
      <c r="N41" s="4" t="s">
        <v>29</v>
      </c>
    </row>
    <row r="42" spans="1:14" x14ac:dyDescent="0.2">
      <c r="A42" s="4" t="str">
        <f t="shared" si="0"/>
        <v>qPCR-mcyE:mcyE-Spike RPD</v>
      </c>
      <c r="B42" s="4" t="s">
        <v>198</v>
      </c>
      <c r="C42" s="4" t="s">
        <v>308</v>
      </c>
      <c r="D42" s="4" t="s">
        <v>309</v>
      </c>
      <c r="E42" s="4">
        <v>-1.06</v>
      </c>
      <c r="F42" s="4" t="s">
        <v>256</v>
      </c>
      <c r="G42" s="4" t="s">
        <v>241</v>
      </c>
      <c r="L42" s="4">
        <v>7933</v>
      </c>
      <c r="M42" s="4" t="s">
        <v>289</v>
      </c>
      <c r="N42" s="4" t="s">
        <v>29</v>
      </c>
    </row>
    <row r="43" spans="1:14" x14ac:dyDescent="0.2">
      <c r="A43" s="4" t="str">
        <f t="shared" si="0"/>
        <v>qPCR-mcyE:mcyE-Spike RPD</v>
      </c>
      <c r="B43" s="4" t="s">
        <v>198</v>
      </c>
      <c r="C43" s="4" t="s">
        <v>308</v>
      </c>
      <c r="D43" s="4" t="s">
        <v>310</v>
      </c>
      <c r="E43" s="4">
        <v>1.99</v>
      </c>
      <c r="F43" s="4" t="s">
        <v>256</v>
      </c>
      <c r="G43" s="4" t="s">
        <v>241</v>
      </c>
      <c r="L43" s="4">
        <v>7933</v>
      </c>
      <c r="M43" s="4" t="s">
        <v>135</v>
      </c>
      <c r="N43" s="4" t="s">
        <v>29</v>
      </c>
    </row>
    <row r="44" spans="1:14" x14ac:dyDescent="0.2">
      <c r="A44" s="4" t="str">
        <f t="shared" si="0"/>
        <v>qPCR-mcyE:mcyE-Spike RPD</v>
      </c>
      <c r="B44" s="4" t="s">
        <v>198</v>
      </c>
      <c r="C44" s="4" t="s">
        <v>308</v>
      </c>
      <c r="D44" s="4" t="s">
        <v>311</v>
      </c>
      <c r="E44" s="4">
        <v>1.31</v>
      </c>
      <c r="F44" s="4" t="s">
        <v>256</v>
      </c>
      <c r="G44" s="4" t="s">
        <v>241</v>
      </c>
      <c r="L44" s="4">
        <v>7933</v>
      </c>
      <c r="M44" s="4" t="s">
        <v>286</v>
      </c>
      <c r="N44" s="4" t="s">
        <v>29</v>
      </c>
    </row>
    <row r="45" spans="1:14" x14ac:dyDescent="0.2">
      <c r="A45" s="4" t="str">
        <f t="shared" si="0"/>
        <v>qPCR-sxtA:sxtA - Blank</v>
      </c>
      <c r="B45" s="4" t="s">
        <v>214</v>
      </c>
      <c r="C45" s="4" t="s">
        <v>312</v>
      </c>
      <c r="D45" s="4" t="s">
        <v>238</v>
      </c>
      <c r="E45" s="4">
        <v>0</v>
      </c>
      <c r="F45" s="4" t="s">
        <v>201</v>
      </c>
      <c r="G45" s="4" t="s">
        <v>282</v>
      </c>
      <c r="H45" s="4">
        <v>0</v>
      </c>
      <c r="I45" s="4" t="s">
        <v>238</v>
      </c>
      <c r="J45" s="4" t="s">
        <v>282</v>
      </c>
      <c r="L45" s="4">
        <v>7932</v>
      </c>
      <c r="N45" s="4" t="s">
        <v>29</v>
      </c>
    </row>
    <row r="46" spans="1:14" x14ac:dyDescent="0.2">
      <c r="A46" s="4" t="str">
        <f t="shared" si="0"/>
        <v>qPCR-sxtA:sxtA - Spike</v>
      </c>
      <c r="B46" s="4" t="s">
        <v>214</v>
      </c>
      <c r="C46" s="4" t="s">
        <v>313</v>
      </c>
      <c r="D46" s="4" t="s">
        <v>248</v>
      </c>
      <c r="E46" s="4">
        <v>125.6</v>
      </c>
      <c r="F46" s="4" t="s">
        <v>201</v>
      </c>
      <c r="G46" s="4" t="s">
        <v>241</v>
      </c>
      <c r="H46" s="4">
        <v>62793</v>
      </c>
      <c r="I46" s="4" t="s">
        <v>314</v>
      </c>
      <c r="J46" s="4" t="s">
        <v>282</v>
      </c>
      <c r="L46" s="4">
        <v>7932</v>
      </c>
      <c r="M46" s="4" t="s">
        <v>286</v>
      </c>
      <c r="N46" s="4" t="s">
        <v>29</v>
      </c>
    </row>
    <row r="47" spans="1:14" x14ac:dyDescent="0.2">
      <c r="A47" s="4" t="str">
        <f t="shared" si="0"/>
        <v>qPCR-sxtA:sxtA - Spike</v>
      </c>
      <c r="B47" s="4" t="s">
        <v>214</v>
      </c>
      <c r="C47" s="4" t="s">
        <v>313</v>
      </c>
      <c r="D47" s="4" t="s">
        <v>315</v>
      </c>
      <c r="E47" s="4">
        <v>128.6</v>
      </c>
      <c r="F47" s="4" t="s">
        <v>201</v>
      </c>
      <c r="G47" s="4" t="s">
        <v>241</v>
      </c>
      <c r="H47" s="4">
        <v>64312</v>
      </c>
      <c r="I47" s="4" t="s">
        <v>314</v>
      </c>
      <c r="J47" s="4" t="s">
        <v>282</v>
      </c>
      <c r="L47" s="4">
        <v>7932</v>
      </c>
      <c r="M47" s="4" t="s">
        <v>135</v>
      </c>
      <c r="N47" s="4" t="s">
        <v>29</v>
      </c>
    </row>
    <row r="48" spans="1:14" x14ac:dyDescent="0.2">
      <c r="A48" s="4" t="str">
        <f t="shared" si="0"/>
        <v>qPCR-sxtA:sxtA - Spike</v>
      </c>
      <c r="B48" s="4" t="s">
        <v>214</v>
      </c>
      <c r="C48" s="4" t="s">
        <v>313</v>
      </c>
      <c r="D48" s="4" t="s">
        <v>316</v>
      </c>
      <c r="E48" s="4">
        <v>104.8</v>
      </c>
      <c r="F48" s="4" t="s">
        <v>201</v>
      </c>
      <c r="G48" s="4" t="s">
        <v>241</v>
      </c>
      <c r="H48" s="4">
        <v>52376</v>
      </c>
      <c r="I48" s="4" t="s">
        <v>314</v>
      </c>
      <c r="J48" s="4" t="s">
        <v>282</v>
      </c>
      <c r="L48" s="4">
        <v>7932</v>
      </c>
      <c r="M48" s="4" t="s">
        <v>289</v>
      </c>
      <c r="N48" s="4" t="s">
        <v>29</v>
      </c>
    </row>
    <row r="49" spans="1:14" x14ac:dyDescent="0.2">
      <c r="A49" s="4" t="str">
        <f t="shared" si="0"/>
        <v>qPCR-sxtA:sxtA-Spike RPD</v>
      </c>
      <c r="B49" s="4" t="s">
        <v>214</v>
      </c>
      <c r="C49" s="4" t="s">
        <v>317</v>
      </c>
      <c r="D49" s="4" t="s">
        <v>318</v>
      </c>
      <c r="E49" s="4">
        <v>2.2400000000000002</v>
      </c>
      <c r="F49" s="4" t="s">
        <v>256</v>
      </c>
      <c r="G49" s="4" t="s">
        <v>241</v>
      </c>
      <c r="L49" s="4">
        <v>7932</v>
      </c>
      <c r="M49" s="4" t="s">
        <v>135</v>
      </c>
      <c r="N49" s="4" t="s">
        <v>29</v>
      </c>
    </row>
    <row r="50" spans="1:14" x14ac:dyDescent="0.2">
      <c r="A50" s="4" t="str">
        <f t="shared" si="0"/>
        <v>qPCR-sxtA:sxtA-Spike RPD</v>
      </c>
      <c r="B50" s="4" t="s">
        <v>214</v>
      </c>
      <c r="C50" s="4" t="s">
        <v>317</v>
      </c>
      <c r="D50" s="4" t="s">
        <v>310</v>
      </c>
      <c r="E50" s="4">
        <v>1.99</v>
      </c>
      <c r="F50" s="4" t="s">
        <v>256</v>
      </c>
      <c r="G50" s="4" t="s">
        <v>241</v>
      </c>
      <c r="L50" s="4">
        <v>7932</v>
      </c>
      <c r="M50" s="4" t="s">
        <v>286</v>
      </c>
      <c r="N50" s="4" t="s">
        <v>29</v>
      </c>
    </row>
    <row r="51" spans="1:14" x14ac:dyDescent="0.2">
      <c r="A51" s="4" t="str">
        <f t="shared" si="0"/>
        <v>qPCR-sxtA:sxtA-Spike RPD</v>
      </c>
      <c r="B51" s="4" t="s">
        <v>214</v>
      </c>
      <c r="C51" s="4" t="s">
        <v>317</v>
      </c>
      <c r="D51" s="4" t="s">
        <v>319</v>
      </c>
      <c r="E51" s="4">
        <v>-0.84</v>
      </c>
      <c r="F51" s="4" t="s">
        <v>256</v>
      </c>
      <c r="G51" s="4" t="s">
        <v>241</v>
      </c>
      <c r="L51" s="4">
        <v>7932</v>
      </c>
      <c r="M51" s="4" t="s">
        <v>289</v>
      </c>
      <c r="N51" s="4" t="s">
        <v>29</v>
      </c>
    </row>
    <row r="52" spans="1:14" x14ac:dyDescent="0.2">
      <c r="N52" s="4" t="s">
        <v>29</v>
      </c>
    </row>
    <row r="53" spans="1:14" x14ac:dyDescent="0.2">
      <c r="N53" s="4" t="s">
        <v>29</v>
      </c>
    </row>
    <row r="54" spans="1:14" x14ac:dyDescent="0.2">
      <c r="N54" s="4" t="s">
        <v>29</v>
      </c>
    </row>
    <row r="55" spans="1:14" x14ac:dyDescent="0.2">
      <c r="N55" s="4" t="s">
        <v>29</v>
      </c>
    </row>
    <row r="56" spans="1:14" x14ac:dyDescent="0.2">
      <c r="N56" s="4" t="s">
        <v>29</v>
      </c>
    </row>
    <row r="57" spans="1:14" x14ac:dyDescent="0.2">
      <c r="N57" s="4" t="s">
        <v>29</v>
      </c>
    </row>
    <row r="58" spans="1:14" x14ac:dyDescent="0.2">
      <c r="N58" s="4" t="s">
        <v>29</v>
      </c>
    </row>
    <row r="59" spans="1:14" x14ac:dyDescent="0.2">
      <c r="N59" s="4" t="s">
        <v>29</v>
      </c>
    </row>
    <row r="60" spans="1:14" x14ac:dyDescent="0.2">
      <c r="N60" s="4" t="s">
        <v>29</v>
      </c>
    </row>
    <row r="61" spans="1:14" x14ac:dyDescent="0.2">
      <c r="N61" s="4" t="s">
        <v>29</v>
      </c>
    </row>
    <row r="62" spans="1:14" x14ac:dyDescent="0.2">
      <c r="N62" s="4" t="s">
        <v>29</v>
      </c>
    </row>
    <row r="63" spans="1:14" x14ac:dyDescent="0.2">
      <c r="N63" s="4" t="s">
        <v>29</v>
      </c>
    </row>
    <row r="64" spans="1:14" x14ac:dyDescent="0.2">
      <c r="N64" s="4" t="s">
        <v>29</v>
      </c>
    </row>
    <row r="65" spans="14:14" x14ac:dyDescent="0.2">
      <c r="N65" s="4" t="s">
        <v>29</v>
      </c>
    </row>
    <row r="66" spans="14:14" x14ac:dyDescent="0.2">
      <c r="N66" s="4" t="s">
        <v>29</v>
      </c>
    </row>
    <row r="67" spans="14:14" x14ac:dyDescent="0.2">
      <c r="N67" s="4" t="s">
        <v>29</v>
      </c>
    </row>
    <row r="68" spans="14:14" x14ac:dyDescent="0.2">
      <c r="N68" s="4" t="s">
        <v>29</v>
      </c>
    </row>
    <row r="69" spans="14:14" x14ac:dyDescent="0.2">
      <c r="N69" s="4" t="s">
        <v>29</v>
      </c>
    </row>
    <row r="70" spans="14:14" x14ac:dyDescent="0.2">
      <c r="N70" s="4" t="s">
        <v>29</v>
      </c>
    </row>
    <row r="71" spans="14:14" x14ac:dyDescent="0.2">
      <c r="N71" s="4" t="s">
        <v>29</v>
      </c>
    </row>
    <row r="72" spans="14:14" x14ac:dyDescent="0.2">
      <c r="N72" s="4" t="s">
        <v>29</v>
      </c>
    </row>
    <row r="73" spans="14:14" x14ac:dyDescent="0.2">
      <c r="N73" s="4" t="s">
        <v>29</v>
      </c>
    </row>
    <row r="74" spans="14:14" x14ac:dyDescent="0.2">
      <c r="N74" s="4" t="s">
        <v>29</v>
      </c>
    </row>
    <row r="75" spans="14:14" x14ac:dyDescent="0.2">
      <c r="N75" s="4" t="s">
        <v>29</v>
      </c>
    </row>
    <row r="76" spans="14:14" x14ac:dyDescent="0.2">
      <c r="N76" s="4" t="s">
        <v>29</v>
      </c>
    </row>
    <row r="77" spans="14:14" x14ac:dyDescent="0.2">
      <c r="N77" s="4" t="s">
        <v>29</v>
      </c>
    </row>
    <row r="78" spans="14:14" x14ac:dyDescent="0.2">
      <c r="N78" s="4" t="s">
        <v>29</v>
      </c>
    </row>
    <row r="79" spans="14:14" x14ac:dyDescent="0.2">
      <c r="N79" s="4" t="s">
        <v>29</v>
      </c>
    </row>
    <row r="80" spans="14:14" x14ac:dyDescent="0.2">
      <c r="N80" s="4" t="s">
        <v>29</v>
      </c>
    </row>
    <row r="81" spans="14:14" x14ac:dyDescent="0.2">
      <c r="N81" s="4" t="s">
        <v>29</v>
      </c>
    </row>
    <row r="82" spans="14:14" x14ac:dyDescent="0.2">
      <c r="N82" s="4" t="s">
        <v>29</v>
      </c>
    </row>
    <row r="83" spans="14:14" x14ac:dyDescent="0.2">
      <c r="N83" s="4" t="s">
        <v>29</v>
      </c>
    </row>
    <row r="84" spans="14:14" x14ac:dyDescent="0.2">
      <c r="N84" s="4" t="s">
        <v>29</v>
      </c>
    </row>
    <row r="85" spans="14:14" x14ac:dyDescent="0.2">
      <c r="N85" s="4" t="s">
        <v>29</v>
      </c>
    </row>
    <row r="86" spans="14:14" x14ac:dyDescent="0.2">
      <c r="N86" s="4" t="s">
        <v>29</v>
      </c>
    </row>
    <row r="87" spans="14:14" x14ac:dyDescent="0.2">
      <c r="N87" s="4" t="s">
        <v>29</v>
      </c>
    </row>
    <row r="88" spans="14:14" x14ac:dyDescent="0.2">
      <c r="N88" s="4" t="s">
        <v>29</v>
      </c>
    </row>
    <row r="89" spans="14:14" x14ac:dyDescent="0.2">
      <c r="N89" s="4" t="s">
        <v>29</v>
      </c>
    </row>
    <row r="90" spans="14:14" x14ac:dyDescent="0.2">
      <c r="N90" s="4" t="s">
        <v>29</v>
      </c>
    </row>
    <row r="91" spans="14:14" x14ac:dyDescent="0.2">
      <c r="N91" s="4" t="s">
        <v>29</v>
      </c>
    </row>
    <row r="92" spans="14:14" x14ac:dyDescent="0.2">
      <c r="N92" s="4" t="s">
        <v>29</v>
      </c>
    </row>
    <row r="93" spans="14:14" x14ac:dyDescent="0.2">
      <c r="N93" s="4" t="s">
        <v>29</v>
      </c>
    </row>
    <row r="94" spans="14:14" x14ac:dyDescent="0.2">
      <c r="N94" s="4" t="s">
        <v>29</v>
      </c>
    </row>
    <row r="95" spans="14:14" x14ac:dyDescent="0.2">
      <c r="N95" s="4" t="s">
        <v>29</v>
      </c>
    </row>
    <row r="96" spans="14:14" x14ac:dyDescent="0.2">
      <c r="N96" s="4" t="s">
        <v>29</v>
      </c>
    </row>
    <row r="97" spans="14:14" x14ac:dyDescent="0.2">
      <c r="N97" s="4" t="s">
        <v>29</v>
      </c>
    </row>
    <row r="98" spans="14:14" x14ac:dyDescent="0.2">
      <c r="N98" s="4" t="s">
        <v>29</v>
      </c>
    </row>
    <row r="99" spans="14:14" x14ac:dyDescent="0.2">
      <c r="N99" s="4" t="s">
        <v>29</v>
      </c>
    </row>
    <row r="100" spans="14:14" x14ac:dyDescent="0.2">
      <c r="N100" s="4" t="s">
        <v>29</v>
      </c>
    </row>
    <row r="101" spans="14:14" x14ac:dyDescent="0.2">
      <c r="N101" s="4" t="s">
        <v>29</v>
      </c>
    </row>
    <row r="102" spans="14:14" x14ac:dyDescent="0.2">
      <c r="N102" s="4" t="s">
        <v>29</v>
      </c>
    </row>
    <row r="103" spans="14:14" x14ac:dyDescent="0.2">
      <c r="N103" s="4" t="s">
        <v>29</v>
      </c>
    </row>
    <row r="104" spans="14:14" x14ac:dyDescent="0.2">
      <c r="N104" s="4" t="s">
        <v>29</v>
      </c>
    </row>
    <row r="105" spans="14:14" x14ac:dyDescent="0.2">
      <c r="N105" s="4" t="s">
        <v>29</v>
      </c>
    </row>
    <row r="106" spans="14:14" x14ac:dyDescent="0.2">
      <c r="N106" s="4" t="s">
        <v>29</v>
      </c>
    </row>
    <row r="107" spans="14:14" x14ac:dyDescent="0.2">
      <c r="N107" s="4" t="s">
        <v>29</v>
      </c>
    </row>
    <row r="108" spans="14:14" x14ac:dyDescent="0.2">
      <c r="N108" s="4" t="s">
        <v>29</v>
      </c>
    </row>
    <row r="109" spans="14:14" x14ac:dyDescent="0.2">
      <c r="N109" s="4" t="s">
        <v>29</v>
      </c>
    </row>
    <row r="110" spans="14:14" x14ac:dyDescent="0.2">
      <c r="N110" s="4" t="s">
        <v>29</v>
      </c>
    </row>
    <row r="111" spans="14:14" x14ac:dyDescent="0.2">
      <c r="N111" s="4" t="s">
        <v>29</v>
      </c>
    </row>
    <row r="112" spans="14:14" x14ac:dyDescent="0.2">
      <c r="N112" s="4" t="s">
        <v>29</v>
      </c>
    </row>
    <row r="113" spans="14:14" x14ac:dyDescent="0.2">
      <c r="N113" s="4" t="s">
        <v>29</v>
      </c>
    </row>
    <row r="114" spans="14:14" x14ac:dyDescent="0.2">
      <c r="N114" s="4" t="s">
        <v>29</v>
      </c>
    </row>
    <row r="115" spans="14:14" x14ac:dyDescent="0.2">
      <c r="N115" s="4" t="s">
        <v>29</v>
      </c>
    </row>
    <row r="116" spans="14:14" x14ac:dyDescent="0.2">
      <c r="N116" s="4" t="s">
        <v>29</v>
      </c>
    </row>
    <row r="117" spans="14:14" x14ac:dyDescent="0.2">
      <c r="N117" s="4" t="s">
        <v>29</v>
      </c>
    </row>
    <row r="118" spans="14:14" x14ac:dyDescent="0.2">
      <c r="N118" s="4" t="s">
        <v>29</v>
      </c>
    </row>
    <row r="119" spans="14:14" x14ac:dyDescent="0.2">
      <c r="N119" s="4" t="s">
        <v>29</v>
      </c>
    </row>
    <row r="120" spans="14:14" x14ac:dyDescent="0.2">
      <c r="N120" s="4" t="s">
        <v>29</v>
      </c>
    </row>
    <row r="121" spans="14:14" x14ac:dyDescent="0.2">
      <c r="N121" s="4" t="s">
        <v>29</v>
      </c>
    </row>
    <row r="122" spans="14:14" x14ac:dyDescent="0.2">
      <c r="N122" s="4" t="s">
        <v>29</v>
      </c>
    </row>
    <row r="123" spans="14:14" x14ac:dyDescent="0.2">
      <c r="N123" s="4" t="s">
        <v>29</v>
      </c>
    </row>
    <row r="124" spans="14:14" x14ac:dyDescent="0.2">
      <c r="N124" s="4" t="s">
        <v>29</v>
      </c>
    </row>
    <row r="125" spans="14:14" x14ac:dyDescent="0.2">
      <c r="N125" s="4" t="s">
        <v>29</v>
      </c>
    </row>
    <row r="126" spans="14:14" x14ac:dyDescent="0.2">
      <c r="N126" s="4" t="s">
        <v>29</v>
      </c>
    </row>
    <row r="127" spans="14:14" x14ac:dyDescent="0.2">
      <c r="N127" s="4" t="s">
        <v>29</v>
      </c>
    </row>
    <row r="128" spans="14:14" x14ac:dyDescent="0.2">
      <c r="N128" s="4" t="s">
        <v>29</v>
      </c>
    </row>
    <row r="129" spans="14:14" x14ac:dyDescent="0.2">
      <c r="N129" s="4" t="s">
        <v>29</v>
      </c>
    </row>
    <row r="130" spans="14:14" x14ac:dyDescent="0.2">
      <c r="N130" s="4" t="s">
        <v>29</v>
      </c>
    </row>
    <row r="131" spans="14:14" x14ac:dyDescent="0.2">
      <c r="N131" s="4" t="s">
        <v>29</v>
      </c>
    </row>
    <row r="132" spans="14:14" x14ac:dyDescent="0.2">
      <c r="N132" s="4" t="s">
        <v>29</v>
      </c>
    </row>
    <row r="133" spans="14:14" x14ac:dyDescent="0.2">
      <c r="N133" s="4" t="s">
        <v>29</v>
      </c>
    </row>
    <row r="134" spans="14:14" x14ac:dyDescent="0.2">
      <c r="N134" s="4" t="s">
        <v>29</v>
      </c>
    </row>
    <row r="135" spans="14:14" x14ac:dyDescent="0.2">
      <c r="N135" s="4" t="s">
        <v>29</v>
      </c>
    </row>
    <row r="136" spans="14:14" x14ac:dyDescent="0.2">
      <c r="N136" s="4" t="s">
        <v>29</v>
      </c>
    </row>
    <row r="137" spans="14:14" x14ac:dyDescent="0.2">
      <c r="N137" s="4" t="s">
        <v>29</v>
      </c>
    </row>
    <row r="138" spans="14:14" x14ac:dyDescent="0.2">
      <c r="N138" s="4" t="s">
        <v>29</v>
      </c>
    </row>
    <row r="139" spans="14:14" x14ac:dyDescent="0.2">
      <c r="N139" s="4" t="s">
        <v>29</v>
      </c>
    </row>
    <row r="140" spans="14:14" x14ac:dyDescent="0.2">
      <c r="N140" s="4" t="s">
        <v>29</v>
      </c>
    </row>
    <row r="141" spans="14:14" x14ac:dyDescent="0.2">
      <c r="N141" s="4" t="s">
        <v>29</v>
      </c>
    </row>
    <row r="142" spans="14:14" x14ac:dyDescent="0.2">
      <c r="N142" s="4" t="s">
        <v>29</v>
      </c>
    </row>
    <row r="143" spans="14:14" x14ac:dyDescent="0.2">
      <c r="N143" s="4" t="s">
        <v>29</v>
      </c>
    </row>
    <row r="144" spans="14:14" x14ac:dyDescent="0.2">
      <c r="N144" s="4" t="s">
        <v>29</v>
      </c>
    </row>
    <row r="145" spans="14:14" x14ac:dyDescent="0.2">
      <c r="N145" s="4" t="s">
        <v>29</v>
      </c>
    </row>
    <row r="146" spans="14:14" x14ac:dyDescent="0.2">
      <c r="N146" s="4" t="s">
        <v>29</v>
      </c>
    </row>
    <row r="147" spans="14:14" x14ac:dyDescent="0.2">
      <c r="N147" s="4" t="s">
        <v>29</v>
      </c>
    </row>
    <row r="148" spans="14:14" x14ac:dyDescent="0.2">
      <c r="N148" s="4" t="s">
        <v>29</v>
      </c>
    </row>
    <row r="149" spans="14:14" x14ac:dyDescent="0.2">
      <c r="N149" s="4" t="s">
        <v>29</v>
      </c>
    </row>
    <row r="150" spans="14:14" x14ac:dyDescent="0.2">
      <c r="N150" s="4" t="s">
        <v>29</v>
      </c>
    </row>
    <row r="151" spans="14:14" x14ac:dyDescent="0.2">
      <c r="N151" s="4" t="s">
        <v>29</v>
      </c>
    </row>
    <row r="152" spans="14:14" x14ac:dyDescent="0.2">
      <c r="N152" s="4" t="s">
        <v>29</v>
      </c>
    </row>
    <row r="153" spans="14:14" x14ac:dyDescent="0.2">
      <c r="N153" s="4" t="s">
        <v>29</v>
      </c>
    </row>
    <row r="154" spans="14:14" x14ac:dyDescent="0.2">
      <c r="N154" s="4" t="s">
        <v>29</v>
      </c>
    </row>
    <row r="155" spans="14:14" x14ac:dyDescent="0.2">
      <c r="N155" s="4" t="s">
        <v>29</v>
      </c>
    </row>
    <row r="156" spans="14:14" x14ac:dyDescent="0.2">
      <c r="N156" s="4" t="s">
        <v>29</v>
      </c>
    </row>
    <row r="157" spans="14:14" x14ac:dyDescent="0.2">
      <c r="N157" s="4" t="s">
        <v>29</v>
      </c>
    </row>
    <row r="158" spans="14:14" x14ac:dyDescent="0.2">
      <c r="N158" s="4" t="s">
        <v>29</v>
      </c>
    </row>
    <row r="159" spans="14:14" x14ac:dyDescent="0.2">
      <c r="N159" s="4" t="s">
        <v>29</v>
      </c>
    </row>
    <row r="160" spans="14:14" x14ac:dyDescent="0.2">
      <c r="N160" s="4" t="s">
        <v>29</v>
      </c>
    </row>
    <row r="161" spans="14:14" x14ac:dyDescent="0.2">
      <c r="N161" s="4" t="s">
        <v>29</v>
      </c>
    </row>
    <row r="162" spans="14:14" x14ac:dyDescent="0.2">
      <c r="N162" s="4" t="s">
        <v>29</v>
      </c>
    </row>
    <row r="163" spans="14:14" x14ac:dyDescent="0.2">
      <c r="N163" s="4" t="s">
        <v>29</v>
      </c>
    </row>
    <row r="164" spans="14:14" x14ac:dyDescent="0.2">
      <c r="N164" s="4" t="s">
        <v>29</v>
      </c>
    </row>
    <row r="165" spans="14:14" x14ac:dyDescent="0.2">
      <c r="N165" s="4" t="s">
        <v>29</v>
      </c>
    </row>
    <row r="166" spans="14:14" x14ac:dyDescent="0.2">
      <c r="N166" s="4" t="s">
        <v>29</v>
      </c>
    </row>
    <row r="167" spans="14:14" x14ac:dyDescent="0.2">
      <c r="N167" s="4" t="s">
        <v>29</v>
      </c>
    </row>
    <row r="168" spans="14:14" x14ac:dyDescent="0.2">
      <c r="N168" s="4" t="s">
        <v>29</v>
      </c>
    </row>
    <row r="169" spans="14:14" x14ac:dyDescent="0.2">
      <c r="N169" s="4" t="s">
        <v>29</v>
      </c>
    </row>
    <row r="170" spans="14:14" x14ac:dyDescent="0.2">
      <c r="N170" s="4" t="s">
        <v>29</v>
      </c>
    </row>
    <row r="171" spans="14:14" x14ac:dyDescent="0.2">
      <c r="N171" s="4" t="s">
        <v>29</v>
      </c>
    </row>
    <row r="172" spans="14:14" x14ac:dyDescent="0.2">
      <c r="N172" s="4" t="s">
        <v>29</v>
      </c>
    </row>
    <row r="173" spans="14:14" x14ac:dyDescent="0.2">
      <c r="N173" s="4" t="s">
        <v>29</v>
      </c>
    </row>
    <row r="174" spans="14:14" x14ac:dyDescent="0.2">
      <c r="N174" s="4" t="s">
        <v>29</v>
      </c>
    </row>
    <row r="175" spans="14:14" x14ac:dyDescent="0.2">
      <c r="N175" s="4" t="s">
        <v>29</v>
      </c>
    </row>
    <row r="176" spans="14:14" x14ac:dyDescent="0.2">
      <c r="N176" s="4" t="s">
        <v>29</v>
      </c>
    </row>
    <row r="177" spans="14:14" x14ac:dyDescent="0.2">
      <c r="N177" s="4" t="s">
        <v>29</v>
      </c>
    </row>
    <row r="178" spans="14:14" x14ac:dyDescent="0.2">
      <c r="N178" s="4" t="s">
        <v>29</v>
      </c>
    </row>
    <row r="179" spans="14:14" x14ac:dyDescent="0.2">
      <c r="N179" s="4" t="s">
        <v>29</v>
      </c>
    </row>
    <row r="180" spans="14:14" x14ac:dyDescent="0.2">
      <c r="N180" s="4" t="s">
        <v>29</v>
      </c>
    </row>
    <row r="181" spans="14:14" x14ac:dyDescent="0.2">
      <c r="N181" s="4" t="s">
        <v>29</v>
      </c>
    </row>
    <row r="182" spans="14:14" x14ac:dyDescent="0.2">
      <c r="N182" s="4" t="s">
        <v>29</v>
      </c>
    </row>
    <row r="183" spans="14:14" x14ac:dyDescent="0.2">
      <c r="N183" s="4" t="s">
        <v>29</v>
      </c>
    </row>
    <row r="184" spans="14:14" x14ac:dyDescent="0.2">
      <c r="N184" s="4" t="s">
        <v>29</v>
      </c>
    </row>
    <row r="185" spans="14:14" x14ac:dyDescent="0.2">
      <c r="N185" s="4" t="s">
        <v>29</v>
      </c>
    </row>
    <row r="186" spans="14:14" x14ac:dyDescent="0.2">
      <c r="N186" s="4" t="s">
        <v>29</v>
      </c>
    </row>
    <row r="187" spans="14:14" x14ac:dyDescent="0.2">
      <c r="N187" s="4" t="s">
        <v>29</v>
      </c>
    </row>
    <row r="188" spans="14:14" x14ac:dyDescent="0.2">
      <c r="N188" s="4" t="s">
        <v>29</v>
      </c>
    </row>
    <row r="189" spans="14:14" x14ac:dyDescent="0.2">
      <c r="N189" s="4" t="s">
        <v>29</v>
      </c>
    </row>
    <row r="190" spans="14:14" x14ac:dyDescent="0.2">
      <c r="N190" s="4" t="s">
        <v>29</v>
      </c>
    </row>
    <row r="191" spans="14:14" x14ac:dyDescent="0.2">
      <c r="N191" s="4" t="s">
        <v>29</v>
      </c>
    </row>
    <row r="192" spans="14:14" x14ac:dyDescent="0.2">
      <c r="N192" s="4" t="s">
        <v>29</v>
      </c>
    </row>
    <row r="193" spans="14:14" x14ac:dyDescent="0.2">
      <c r="N193" s="4" t="s">
        <v>29</v>
      </c>
    </row>
    <row r="194" spans="14:14" x14ac:dyDescent="0.2">
      <c r="N194" s="4" t="s">
        <v>29</v>
      </c>
    </row>
    <row r="195" spans="14:14" x14ac:dyDescent="0.2">
      <c r="N195" s="4" t="s">
        <v>29</v>
      </c>
    </row>
    <row r="196" spans="14:14" x14ac:dyDescent="0.2">
      <c r="N196" s="4" t="s">
        <v>29</v>
      </c>
    </row>
    <row r="197" spans="14:14" x14ac:dyDescent="0.2">
      <c r="N197" s="4" t="s">
        <v>29</v>
      </c>
    </row>
    <row r="198" spans="14:14" x14ac:dyDescent="0.2">
      <c r="N198" s="4" t="s">
        <v>29</v>
      </c>
    </row>
    <row r="199" spans="14:14" x14ac:dyDescent="0.2">
      <c r="N199" s="4" t="s">
        <v>29</v>
      </c>
    </row>
    <row r="200" spans="14:14" x14ac:dyDescent="0.2">
      <c r="N200" s="4" t="s">
        <v>29</v>
      </c>
    </row>
    <row r="201" spans="14:14" x14ac:dyDescent="0.2">
      <c r="N201" s="4" t="s">
        <v>29</v>
      </c>
    </row>
    <row r="202" spans="14:14" x14ac:dyDescent="0.2">
      <c r="N202" s="4" t="s">
        <v>29</v>
      </c>
    </row>
    <row r="203" spans="14:14" x14ac:dyDescent="0.2">
      <c r="N203" s="4" t="s">
        <v>29</v>
      </c>
    </row>
    <row r="204" spans="14:14" x14ac:dyDescent="0.2">
      <c r="N204" s="4" t="s">
        <v>29</v>
      </c>
    </row>
    <row r="205" spans="14:14" x14ac:dyDescent="0.2">
      <c r="N205" s="4" t="s">
        <v>29</v>
      </c>
    </row>
    <row r="206" spans="14:14" x14ac:dyDescent="0.2">
      <c r="N206" s="4" t="s">
        <v>29</v>
      </c>
    </row>
    <row r="207" spans="14:14" x14ac:dyDescent="0.2">
      <c r="N207" s="4" t="s">
        <v>29</v>
      </c>
    </row>
    <row r="208" spans="14:14" x14ac:dyDescent="0.2">
      <c r="N208" s="4" t="s">
        <v>29</v>
      </c>
    </row>
    <row r="209" spans="14:14" x14ac:dyDescent="0.2">
      <c r="N209" s="4" t="s">
        <v>29</v>
      </c>
    </row>
    <row r="210" spans="14:14" x14ac:dyDescent="0.2">
      <c r="N210" s="4" t="s">
        <v>29</v>
      </c>
    </row>
    <row r="211" spans="14:14" x14ac:dyDescent="0.2">
      <c r="N211" s="4" t="s">
        <v>29</v>
      </c>
    </row>
    <row r="212" spans="14:14" x14ac:dyDescent="0.2">
      <c r="N212" s="4" t="s">
        <v>29</v>
      </c>
    </row>
    <row r="213" spans="14:14" x14ac:dyDescent="0.2">
      <c r="N213" s="4" t="s">
        <v>29</v>
      </c>
    </row>
    <row r="214" spans="14:14" x14ac:dyDescent="0.2">
      <c r="N214" s="4" t="s">
        <v>29</v>
      </c>
    </row>
    <row r="215" spans="14:14" x14ac:dyDescent="0.2">
      <c r="N215" s="4" t="s">
        <v>29</v>
      </c>
    </row>
    <row r="216" spans="14:14" x14ac:dyDescent="0.2">
      <c r="N216" s="4" t="s">
        <v>29</v>
      </c>
    </row>
    <row r="217" spans="14:14" x14ac:dyDescent="0.2">
      <c r="N217" s="4" t="s">
        <v>29</v>
      </c>
    </row>
    <row r="218" spans="14:14" x14ac:dyDescent="0.2">
      <c r="N218" s="4" t="s">
        <v>29</v>
      </c>
    </row>
    <row r="219" spans="14:14" x14ac:dyDescent="0.2">
      <c r="N219" s="4" t="s">
        <v>29</v>
      </c>
    </row>
    <row r="220" spans="14:14" x14ac:dyDescent="0.2">
      <c r="N220" s="4" t="s">
        <v>29</v>
      </c>
    </row>
    <row r="221" spans="14:14" x14ac:dyDescent="0.2">
      <c r="N221" s="4" t="s">
        <v>29</v>
      </c>
    </row>
    <row r="222" spans="14:14" x14ac:dyDescent="0.2">
      <c r="N222" s="4" t="s">
        <v>29</v>
      </c>
    </row>
    <row r="223" spans="14:14" x14ac:dyDescent="0.2">
      <c r="N223" s="4" t="s">
        <v>29</v>
      </c>
    </row>
    <row r="224" spans="14:14" x14ac:dyDescent="0.2">
      <c r="N224" s="4" t="s">
        <v>29</v>
      </c>
    </row>
    <row r="225" spans="14:14" x14ac:dyDescent="0.2">
      <c r="N225" s="4" t="s">
        <v>29</v>
      </c>
    </row>
    <row r="226" spans="14:14" x14ac:dyDescent="0.2">
      <c r="N226" s="4" t="s">
        <v>29</v>
      </c>
    </row>
  </sheetData>
  <phoneticPr fontId="8"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ustomer"/>
  <dimension ref="A1:G51"/>
  <sheetViews>
    <sheetView workbookViewId="0">
      <selection activeCell="D2" sqref="D2:G7"/>
    </sheetView>
  </sheetViews>
  <sheetFormatPr defaultRowHeight="12.75" x14ac:dyDescent="0.2"/>
  <cols>
    <col min="1" max="1" width="26.85546875" customWidth="1"/>
    <col min="2" max="2" width="36.7109375" customWidth="1"/>
  </cols>
  <sheetData>
    <row r="1" spans="1:7" x14ac:dyDescent="0.2">
      <c r="A1" t="s">
        <v>72</v>
      </c>
      <c r="B1">
        <v>3</v>
      </c>
      <c r="D1" t="s">
        <v>0</v>
      </c>
    </row>
    <row r="2" spans="1:7" x14ac:dyDescent="0.2">
      <c r="A2" t="s">
        <v>320</v>
      </c>
      <c r="B2" t="s">
        <v>321</v>
      </c>
      <c r="D2" s="67" t="str">
        <f>IF(ISBLANK(B32), B3, B32) &amp; CHAR(10) &amp; IF(LEN(D19) &gt; 3, D19, D11)</f>
        <v>Big Valley Band of Pomo Indians
2726 Mission Rancheria Rd
Lakeport, CA  95453</v>
      </c>
      <c r="E2" s="67"/>
      <c r="F2" s="67"/>
      <c r="G2" s="67"/>
    </row>
    <row r="3" spans="1:7" x14ac:dyDescent="0.2">
      <c r="A3" t="s">
        <v>322</v>
      </c>
      <c r="B3" t="s">
        <v>147</v>
      </c>
      <c r="D3" s="67"/>
      <c r="E3" s="67"/>
      <c r="F3" s="67"/>
      <c r="G3" s="67"/>
    </row>
    <row r="4" spans="1:7" x14ac:dyDescent="0.2">
      <c r="A4" t="s">
        <v>323</v>
      </c>
      <c r="B4" t="s">
        <v>324</v>
      </c>
      <c r="D4" s="67"/>
      <c r="E4" s="67"/>
      <c r="F4" s="67"/>
      <c r="G4" s="67"/>
    </row>
    <row r="5" spans="1:7" x14ac:dyDescent="0.2">
      <c r="A5" t="s">
        <v>325</v>
      </c>
      <c r="D5" s="67"/>
      <c r="E5" s="67"/>
      <c r="F5" s="67"/>
      <c r="G5" s="67"/>
    </row>
    <row r="6" spans="1:7" x14ac:dyDescent="0.2">
      <c r="A6" t="s">
        <v>18</v>
      </c>
      <c r="D6" s="67"/>
      <c r="E6" s="67"/>
      <c r="F6" s="67"/>
      <c r="G6" s="67"/>
    </row>
    <row r="7" spans="1:7" x14ac:dyDescent="0.2">
      <c r="A7" t="s">
        <v>326</v>
      </c>
      <c r="B7" t="s">
        <v>327</v>
      </c>
      <c r="D7" s="67"/>
      <c r="E7" s="67"/>
      <c r="F7" s="67"/>
      <c r="G7" s="67"/>
    </row>
    <row r="8" spans="1:7" x14ac:dyDescent="0.2">
      <c r="A8" t="s">
        <v>328</v>
      </c>
    </row>
    <row r="9" spans="1:7" x14ac:dyDescent="0.2">
      <c r="A9" t="s">
        <v>329</v>
      </c>
    </row>
    <row r="10" spans="1:7" x14ac:dyDescent="0.2">
      <c r="A10" t="s">
        <v>330</v>
      </c>
      <c r="D10" t="s">
        <v>1</v>
      </c>
    </row>
    <row r="11" spans="1:7" x14ac:dyDescent="0.2">
      <c r="A11" t="s">
        <v>331</v>
      </c>
      <c r="B11" t="s">
        <v>332</v>
      </c>
      <c r="D11" s="67" t="str">
        <f>B7 &amp; IF(ISBLANK(B9), "", CHAR(10) &amp; B9) &amp; CHAR(10) &amp; B11 &amp; IF(ISBLANK(B13), "", ", " &amp; B13) &amp; "  " &amp; B15 &amp; IF(ISBLANK(B17), "", CHAR(10) &amp; B17)</f>
        <v>2726 Mission Rancheria Rd
Lakeport, CA  95453</v>
      </c>
      <c r="E11" s="67"/>
      <c r="F11" s="67"/>
      <c r="G11" s="67"/>
    </row>
    <row r="12" spans="1:7" x14ac:dyDescent="0.2">
      <c r="A12" t="s">
        <v>333</v>
      </c>
      <c r="D12" s="67"/>
      <c r="E12" s="67"/>
      <c r="F12" s="67"/>
      <c r="G12" s="67"/>
    </row>
    <row r="13" spans="1:7" x14ac:dyDescent="0.2">
      <c r="A13" t="s">
        <v>334</v>
      </c>
      <c r="B13" t="s">
        <v>335</v>
      </c>
      <c r="D13" s="67"/>
      <c r="E13" s="67"/>
      <c r="F13" s="67"/>
      <c r="G13" s="67"/>
    </row>
    <row r="14" spans="1:7" x14ac:dyDescent="0.2">
      <c r="A14" t="s">
        <v>336</v>
      </c>
      <c r="D14" s="67"/>
      <c r="E14" s="67"/>
      <c r="F14" s="67"/>
      <c r="G14" s="67"/>
    </row>
    <row r="15" spans="1:7" x14ac:dyDescent="0.2">
      <c r="A15" t="s">
        <v>337</v>
      </c>
      <c r="B15" t="s">
        <v>338</v>
      </c>
      <c r="D15" s="67"/>
      <c r="E15" s="67"/>
      <c r="F15" s="67"/>
      <c r="G15" s="67"/>
    </row>
    <row r="16" spans="1:7" x14ac:dyDescent="0.2">
      <c r="A16" t="s">
        <v>339</v>
      </c>
    </row>
    <row r="17" spans="1:7" x14ac:dyDescent="0.2">
      <c r="A17" t="s">
        <v>340</v>
      </c>
    </row>
    <row r="18" spans="1:7" x14ac:dyDescent="0.2">
      <c r="A18" t="s">
        <v>341</v>
      </c>
      <c r="D18" t="s">
        <v>2</v>
      </c>
    </row>
    <row r="19" spans="1:7" x14ac:dyDescent="0.2">
      <c r="A19" t="s">
        <v>342</v>
      </c>
      <c r="B19" t="b">
        <v>0</v>
      </c>
      <c r="D19" s="67" t="str">
        <f>B8 &amp; IF(ISBLANK(B10), "", CHAR(10) &amp; B10) &amp; CHAR(10) &amp; B12 &amp; IF(ISBLANK(B14), "", ", " &amp; B14) &amp; "  " &amp; B16 &amp; IF(ISBLANK(B18), "", CHAR(10) &amp; B18)</f>
        <v xml:space="preserve">
  </v>
      </c>
      <c r="E19" s="67"/>
      <c r="F19" s="67"/>
      <c r="G19" s="67"/>
    </row>
    <row r="20" spans="1:7" x14ac:dyDescent="0.2">
      <c r="A20" t="s">
        <v>68</v>
      </c>
      <c r="B20" t="s">
        <v>121</v>
      </c>
      <c r="D20" s="67"/>
      <c r="E20" s="67"/>
      <c r="F20" s="67"/>
      <c r="G20" s="67"/>
    </row>
    <row r="21" spans="1:7" x14ac:dyDescent="0.2">
      <c r="A21" t="s">
        <v>67</v>
      </c>
      <c r="B21" t="s">
        <v>121</v>
      </c>
      <c r="D21" s="67"/>
      <c r="E21" s="67"/>
      <c r="F21" s="67"/>
      <c r="G21" s="67"/>
    </row>
    <row r="22" spans="1:7" x14ac:dyDescent="0.2">
      <c r="A22" t="s">
        <v>66</v>
      </c>
      <c r="B22">
        <v>45069.659826388888</v>
      </c>
      <c r="D22" s="67"/>
      <c r="E22" s="67"/>
      <c r="F22" s="67"/>
      <c r="G22" s="67"/>
    </row>
    <row r="23" spans="1:7" x14ac:dyDescent="0.2">
      <c r="A23" t="s">
        <v>65</v>
      </c>
      <c r="B23">
        <v>45387.545972222222</v>
      </c>
      <c r="D23" s="67"/>
      <c r="E23" s="67"/>
      <c r="F23" s="67"/>
      <c r="G23" s="67"/>
    </row>
    <row r="24" spans="1:7" x14ac:dyDescent="0.2">
      <c r="A24" t="s">
        <v>192</v>
      </c>
    </row>
    <row r="25" spans="1:7" x14ac:dyDescent="0.2">
      <c r="A25" t="s">
        <v>343</v>
      </c>
    </row>
    <row r="26" spans="1:7" x14ac:dyDescent="0.2">
      <c r="A26" t="s">
        <v>344</v>
      </c>
      <c r="B26" t="b">
        <v>0</v>
      </c>
    </row>
    <row r="27" spans="1:7" x14ac:dyDescent="0.2">
      <c r="A27" t="s">
        <v>345</v>
      </c>
    </row>
    <row r="28" spans="1:7" x14ac:dyDescent="0.2">
      <c r="A28" t="s">
        <v>346</v>
      </c>
    </row>
    <row r="29" spans="1:7" x14ac:dyDescent="0.2">
      <c r="A29" t="s">
        <v>347</v>
      </c>
      <c r="B29" t="b">
        <v>0</v>
      </c>
    </row>
    <row r="30" spans="1:7" x14ac:dyDescent="0.2">
      <c r="A30" t="s">
        <v>348</v>
      </c>
    </row>
    <row r="31" spans="1:7" x14ac:dyDescent="0.2">
      <c r="A31" t="s">
        <v>349</v>
      </c>
    </row>
    <row r="32" spans="1:7" x14ac:dyDescent="0.2">
      <c r="A32" t="s">
        <v>86</v>
      </c>
      <c r="B32" t="s">
        <v>148</v>
      </c>
    </row>
    <row r="33" spans="1:2" x14ac:dyDescent="0.2">
      <c r="A33" t="s">
        <v>350</v>
      </c>
    </row>
    <row r="34" spans="1:2" x14ac:dyDescent="0.2">
      <c r="A34" t="s">
        <v>351</v>
      </c>
      <c r="B34" t="s">
        <v>352</v>
      </c>
    </row>
    <row r="35" spans="1:2" x14ac:dyDescent="0.2">
      <c r="A35" t="s">
        <v>353</v>
      </c>
    </row>
    <row r="36" spans="1:2" x14ac:dyDescent="0.2">
      <c r="A36" t="s">
        <v>354</v>
      </c>
    </row>
    <row r="37" spans="1:2" x14ac:dyDescent="0.2">
      <c r="A37" t="s">
        <v>355</v>
      </c>
      <c r="B37" t="s">
        <v>148</v>
      </c>
    </row>
    <row r="38" spans="1:2" x14ac:dyDescent="0.2">
      <c r="A38" t="s">
        <v>356</v>
      </c>
      <c r="B38" t="s">
        <v>352</v>
      </c>
    </row>
    <row r="39" spans="1:2" x14ac:dyDescent="0.2">
      <c r="A39" t="s">
        <v>357</v>
      </c>
      <c r="B39" t="s">
        <v>324</v>
      </c>
    </row>
    <row r="40" spans="1:2" x14ac:dyDescent="0.2">
      <c r="A40" t="s">
        <v>358</v>
      </c>
    </row>
    <row r="41" spans="1:2" x14ac:dyDescent="0.2">
      <c r="A41" t="s">
        <v>359</v>
      </c>
    </row>
    <row r="42" spans="1:2" x14ac:dyDescent="0.2">
      <c r="A42" t="s">
        <v>360</v>
      </c>
    </row>
    <row r="43" spans="1:2" x14ac:dyDescent="0.2">
      <c r="A43" t="s">
        <v>361</v>
      </c>
    </row>
    <row r="44" spans="1:2" x14ac:dyDescent="0.2">
      <c r="A44" t="s">
        <v>362</v>
      </c>
    </row>
    <row r="45" spans="1:2" x14ac:dyDescent="0.2">
      <c r="A45" t="s">
        <v>363</v>
      </c>
    </row>
    <row r="46" spans="1:2" x14ac:dyDescent="0.2">
      <c r="A46" t="s">
        <v>364</v>
      </c>
    </row>
    <row r="47" spans="1:2" x14ac:dyDescent="0.2">
      <c r="A47" t="s">
        <v>365</v>
      </c>
    </row>
    <row r="48" spans="1:2" x14ac:dyDescent="0.2">
      <c r="A48" t="s">
        <v>366</v>
      </c>
    </row>
    <row r="49" spans="1:2" x14ac:dyDescent="0.2">
      <c r="A49" t="s">
        <v>367</v>
      </c>
      <c r="B49" t="b">
        <v>0</v>
      </c>
    </row>
    <row r="50" spans="1:2" x14ac:dyDescent="0.2">
      <c r="A50" t="s">
        <v>83</v>
      </c>
    </row>
    <row r="51" spans="1:2" x14ac:dyDescent="0.2">
      <c r="A51" t="s">
        <v>84</v>
      </c>
    </row>
  </sheetData>
  <mergeCells count="3">
    <mergeCell ref="D2:G7"/>
    <mergeCell ref="D11:G15"/>
    <mergeCell ref="D19:G23"/>
  </mergeCells>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A1:B3"/>
  <sheetViews>
    <sheetView workbookViewId="0">
      <selection activeCell="E9" sqref="E9"/>
    </sheetView>
  </sheetViews>
  <sheetFormatPr defaultRowHeight="12.75" x14ac:dyDescent="0.2"/>
  <cols>
    <col min="1" max="1" width="33.28515625" customWidth="1"/>
  </cols>
  <sheetData>
    <row r="1" spans="1:2" x14ac:dyDescent="0.2">
      <c r="A1" s="2" t="s">
        <v>11</v>
      </c>
      <c r="B1" t="s">
        <v>10</v>
      </c>
    </row>
    <row r="2" spans="1:2" x14ac:dyDescent="0.2">
      <c r="A2" s="2" t="s">
        <v>12</v>
      </c>
      <c r="B2" t="s">
        <v>10</v>
      </c>
    </row>
    <row r="3" spans="1:2" x14ac:dyDescent="0.2">
      <c r="A3" s="1" t="s">
        <v>3</v>
      </c>
      <c r="B3" t="s">
        <v>10</v>
      </c>
    </row>
  </sheetData>
  <phoneticPr fontId="2" type="noConversion"/>
  <dataValidations count="3">
    <dataValidation type="list" allowBlank="1" showInputMessage="1" showErrorMessage="1" sqref="B1" xr:uid="{00000000-0002-0000-0800-000000000000}">
      <formula1>"Yes, No"</formula1>
    </dataValidation>
    <dataValidation type="list" showInputMessage="1" showErrorMessage="1" sqref="B3" xr:uid="{00000000-0002-0000-0800-000001000000}">
      <formula1>"No,Yes"</formula1>
    </dataValidation>
    <dataValidation type="list" showInputMessage="1" showErrorMessage="1" sqref="B2" xr:uid="{00000000-0002-0000-0800-000002000000}">
      <formula1>"Yes, No"</formula1>
    </dataValidation>
  </dataValidations>
  <pageMargins left="0.75" right="0.75" top="1" bottom="1" header="0.5" footer="0.5"/>
  <pageSetup orientation="portrait" horizontalDpi="4294967293" vertic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15"/>
  <sheetViews>
    <sheetView workbookViewId="0">
      <selection activeCell="C4" sqref="C4"/>
    </sheetView>
  </sheetViews>
  <sheetFormatPr defaultRowHeight="12.75" x14ac:dyDescent="0.2"/>
  <cols>
    <col min="1" max="1" width="14.7109375" customWidth="1"/>
    <col min="2" max="2" width="5.28515625" customWidth="1"/>
    <col min="3" max="3" width="13.140625" customWidth="1"/>
    <col min="4" max="4" width="12.7109375" customWidth="1"/>
    <col min="5" max="5" width="10.42578125" customWidth="1"/>
    <col min="6" max="6" width="12" customWidth="1"/>
  </cols>
  <sheetData>
    <row r="1" spans="1:7" ht="92.25" customHeight="1" x14ac:dyDescent="0.2">
      <c r="A1" s="68"/>
      <c r="B1" s="68"/>
      <c r="C1" s="68"/>
      <c r="D1" s="68"/>
      <c r="E1" s="68"/>
      <c r="F1" s="68"/>
      <c r="G1" s="68"/>
    </row>
    <row r="2" spans="1:7" ht="13.15" customHeight="1" x14ac:dyDescent="0.2">
      <c r="A2" s="18" t="s">
        <v>47</v>
      </c>
      <c r="B2" s="52">
        <v>1</v>
      </c>
      <c r="C2" s="52"/>
      <c r="D2" s="18" t="s">
        <v>46</v>
      </c>
      <c r="E2" s="53">
        <v>45510</v>
      </c>
      <c r="F2" s="13"/>
    </row>
    <row r="3" spans="1:7" x14ac:dyDescent="0.2">
      <c r="A3" s="2"/>
      <c r="B3" s="52"/>
      <c r="C3" s="52"/>
      <c r="E3" s="2"/>
      <c r="F3" s="12" t="str">
        <f>IF(ISERROR(INDEX(Project.Name,$A$1)), "", IF(ISBLANK(INDEX(Project.Name,$A$1)), "", INDEX(Project.Name,$A$1)))</f>
        <v>HABs</v>
      </c>
    </row>
    <row r="4" spans="1:7" x14ac:dyDescent="0.2">
      <c r="A4" s="2"/>
      <c r="B4" s="52"/>
      <c r="C4" s="52"/>
      <c r="D4" s="52"/>
    </row>
    <row r="5" spans="1:7" x14ac:dyDescent="0.2">
      <c r="A5" s="8"/>
      <c r="B5" s="52"/>
      <c r="C5" s="52"/>
      <c r="D5" s="52"/>
    </row>
    <row r="6" spans="1:7" x14ac:dyDescent="0.2">
      <c r="A6" s="8"/>
      <c r="B6" s="52"/>
      <c r="C6" s="52"/>
      <c r="D6" s="52"/>
    </row>
    <row r="8" spans="1:7" ht="14.25" x14ac:dyDescent="0.2">
      <c r="A8" s="14" t="s">
        <v>45</v>
      </c>
      <c r="C8" s="51" t="s">
        <v>48</v>
      </c>
      <c r="D8" s="2" t="s">
        <v>49</v>
      </c>
    </row>
    <row r="9" spans="1:7" ht="15" x14ac:dyDescent="0.2">
      <c r="A9" s="15">
        <v>0</v>
      </c>
      <c r="C9" s="55">
        <v>45292</v>
      </c>
      <c r="D9" s="8" t="s">
        <v>52</v>
      </c>
    </row>
    <row r="10" spans="1:7" ht="15" x14ac:dyDescent="0.2">
      <c r="A10" s="15">
        <v>1</v>
      </c>
      <c r="C10" s="54">
        <v>45509</v>
      </c>
      <c r="D10" s="8" t="s">
        <v>50</v>
      </c>
    </row>
    <row r="11" spans="1:7" ht="15" x14ac:dyDescent="0.2">
      <c r="A11" s="15"/>
      <c r="D11" s="8" t="s">
        <v>51</v>
      </c>
    </row>
    <row r="12" spans="1:7" ht="15" x14ac:dyDescent="0.2">
      <c r="A12" s="14"/>
      <c r="C12" s="15"/>
    </row>
    <row r="13" spans="1:7" ht="15" x14ac:dyDescent="0.2">
      <c r="A13" s="15"/>
    </row>
    <row r="14" spans="1:7" ht="14.25" x14ac:dyDescent="0.2">
      <c r="A14" s="16"/>
      <c r="C14" s="11"/>
    </row>
    <row r="15" spans="1:7" x14ac:dyDescent="0.2">
      <c r="C15" s="11"/>
    </row>
  </sheetData>
  <mergeCells count="1">
    <mergeCell ref="A1:G1"/>
  </mergeCell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
  <sheetViews>
    <sheetView workbookViewId="0"/>
  </sheetViews>
  <sheetFormatPr defaultRowHeight="12.75" x14ac:dyDescent="0.2"/>
  <sheetData/>
  <phoneticPr fontId="0" type="noConversion"/>
  <pageMargins left="0.75" right="0.75" top="1" bottom="1" header="0.5" footer="0.5"/>
  <pageSetup orientation="landscape" r:id="rId1"/>
  <headerFooter alignWithMargins="0"/>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9704E12B6AAE045B16F1BD6A59B6EDA" ma:contentTypeVersion="13" ma:contentTypeDescription="Create a new document." ma:contentTypeScope="" ma:versionID="71b7ea1d84e6e50c64c3d2ad4fa2eb9f">
  <xsd:schema xmlns:xsd="http://www.w3.org/2001/XMLSchema" xmlns:xs="http://www.w3.org/2001/XMLSchema" xmlns:p="http://schemas.microsoft.com/office/2006/metadata/properties" xmlns:ns2="ae5bf1b2-1fca-45c7-b744-2fb462b52423" xmlns:ns3="1d685a0d-287f-4a50-9fd6-e1de31631994" targetNamespace="http://schemas.microsoft.com/office/2006/metadata/properties" ma:root="true" ma:fieldsID="56f16d968bd08efc3878051a9b146c53" ns2:_="" ns3:_="">
    <xsd:import namespace="ae5bf1b2-1fca-45c7-b744-2fb462b52423"/>
    <xsd:import namespace="1d685a0d-287f-4a50-9fd6-e1de31631994"/>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2:MediaLengthInSeconds"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e5bf1b2-1fca-45c7-b744-2fb462b5242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d6b13ee2-afd2-495b-b307-5cc79d27568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1d685a0d-287f-4a50-9fd6-e1de31631994"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0b75e5f4-f2cc-4edc-9e67-6100b01ffdb8}" ma:internalName="TaxCatchAll" ma:showField="CatchAllData" ma:web="1d685a0d-287f-4a50-9fd6-e1de3163199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259CA6C-61E1-4DE2-9357-2558CFA7B78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e5bf1b2-1fca-45c7-b744-2fb462b52423"/>
    <ds:schemaRef ds:uri="1d685a0d-287f-4a50-9fd6-e1de3163199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4A9989F-56B2-413B-9440-3C5247BBE8D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112</vt:i4>
      </vt:variant>
    </vt:vector>
  </HeadingPairs>
  <TitlesOfParts>
    <vt:vector size="132" baseType="lpstr">
      <vt:lpstr>Sample1</vt:lpstr>
      <vt:lpstr>Sample2</vt:lpstr>
      <vt:lpstr>Sample3</vt:lpstr>
      <vt:lpstr>Sample4</vt:lpstr>
      <vt:lpstr>Sample5</vt:lpstr>
      <vt:lpstr>Sample6</vt:lpstr>
      <vt:lpstr>Sample7</vt:lpstr>
      <vt:lpstr>Sample8</vt:lpstr>
      <vt:lpstr>Sample9</vt:lpstr>
      <vt:lpstr>Sample10</vt:lpstr>
      <vt:lpstr>Sample11</vt:lpstr>
      <vt:lpstr>Sample12</vt:lpstr>
      <vt:lpstr>QC</vt:lpstr>
      <vt:lpstr>LIMSData</vt:lpstr>
      <vt:lpstr>AnalysisData</vt:lpstr>
      <vt:lpstr>QCData</vt:lpstr>
      <vt:lpstr>Customer</vt:lpstr>
      <vt:lpstr>Settings</vt:lpstr>
      <vt:lpstr>Doc History</vt:lpstr>
      <vt:lpstr>Read Me</vt:lpstr>
      <vt:lpstr>Abbreviation</vt:lpstr>
      <vt:lpstr>Account</vt:lpstr>
      <vt:lpstr>AddedDate</vt:lpstr>
      <vt:lpstr>AddedDateSort</vt:lpstr>
      <vt:lpstr>AddedUser</vt:lpstr>
      <vt:lpstr>Analysis.SortOrder</vt:lpstr>
      <vt:lpstr>AnalysisDate</vt:lpstr>
      <vt:lpstr>AnalysisID</vt:lpstr>
      <vt:lpstr>AnalysisResult</vt:lpstr>
      <vt:lpstr>AnalysisResultFormatted</vt:lpstr>
      <vt:lpstr>AnalysisSampleID</vt:lpstr>
      <vt:lpstr>AnalysisTime</vt:lpstr>
      <vt:lpstr>Analyte</vt:lpstr>
      <vt:lpstr>AnalyteReportName</vt:lpstr>
      <vt:lpstr>AnalyticalBatchID</vt:lpstr>
      <vt:lpstr>Batch</vt:lpstr>
      <vt:lpstr>CollectedDate</vt:lpstr>
      <vt:lpstr>CollectedDateTime</vt:lpstr>
      <vt:lpstr>CollectedTime</vt:lpstr>
      <vt:lpstr>CompletedDate</vt:lpstr>
      <vt:lpstr>AnalysisData!ComputerName</vt:lpstr>
      <vt:lpstr>ComputerName</vt:lpstr>
      <vt:lpstr>Conclusions</vt:lpstr>
      <vt:lpstr>Cost</vt:lpstr>
      <vt:lpstr>Customer.Name</vt:lpstr>
      <vt:lpstr>CustomerID</vt:lpstr>
      <vt:lpstr>CustomerMailingLabel</vt:lpstr>
      <vt:lpstr>CustomerSampleID</vt:lpstr>
      <vt:lpstr>Description</vt:lpstr>
      <vt:lpstr>DilutionFactor</vt:lpstr>
      <vt:lpstr>DueDate</vt:lpstr>
      <vt:lpstr>ExcludeInternalData</vt:lpstr>
      <vt:lpstr>AnalysisData!FormName</vt:lpstr>
      <vt:lpstr>FormName</vt:lpstr>
      <vt:lpstr>Initials</vt:lpstr>
      <vt:lpstr>InternalData</vt:lpstr>
      <vt:lpstr>Invoice</vt:lpstr>
      <vt:lpstr>InvoiceDate</vt:lpstr>
      <vt:lpstr>Laboratory.Name</vt:lpstr>
      <vt:lpstr>LaboratoryID</vt:lpstr>
      <vt:lpstr>LinkedDocument</vt:lpstr>
      <vt:lpstr>Location.Name</vt:lpstr>
      <vt:lpstr>LocationID</vt:lpstr>
      <vt:lpstr>Method.Name</vt:lpstr>
      <vt:lpstr>MinDetectLimit</vt:lpstr>
      <vt:lpstr>Notes</vt:lpstr>
      <vt:lpstr>Sample10!OneAnalysisResults</vt:lpstr>
      <vt:lpstr>Sample11!OneAnalysisResults</vt:lpstr>
      <vt:lpstr>Sample12!OneAnalysisResults</vt:lpstr>
      <vt:lpstr>Sample2!OneAnalysisResults</vt:lpstr>
      <vt:lpstr>Sample3!OneAnalysisResults</vt:lpstr>
      <vt:lpstr>Sample4!OneAnalysisResults</vt:lpstr>
      <vt:lpstr>Sample5!OneAnalysisResults</vt:lpstr>
      <vt:lpstr>Sample6!OneAnalysisResults</vt:lpstr>
      <vt:lpstr>Sample7!OneAnalysisResults</vt:lpstr>
      <vt:lpstr>Sample8!OneAnalysisResults</vt:lpstr>
      <vt:lpstr>Sample9!OneAnalysisResults</vt:lpstr>
      <vt:lpstr>OneAnalysisResults</vt:lpstr>
      <vt:lpstr>OneQCResults</vt:lpstr>
      <vt:lpstr>PerformedInhouse</vt:lpstr>
      <vt:lpstr>PreventScreenUpdating</vt:lpstr>
      <vt:lpstr>Project.Name</vt:lpstr>
      <vt:lpstr>ProjectID</vt:lpstr>
      <vt:lpstr>PurchaseOrder</vt:lpstr>
      <vt:lpstr>QCAnalyte</vt:lpstr>
      <vt:lpstr>QCAnalyteQCType</vt:lpstr>
      <vt:lpstr>QCAnalyticalBatchID</vt:lpstr>
      <vt:lpstr>QCDataLookup</vt:lpstr>
      <vt:lpstr>QCPreRec</vt:lpstr>
      <vt:lpstr>QCReferenceName</vt:lpstr>
      <vt:lpstr>QCReferenceUnits</vt:lpstr>
      <vt:lpstr>QCReferenceValue</vt:lpstr>
      <vt:lpstr>QCRelatedSampleID</vt:lpstr>
      <vt:lpstr>QCResultFormatted</vt:lpstr>
      <vt:lpstr>QCResultName</vt:lpstr>
      <vt:lpstr>QCResultUnits</vt:lpstr>
      <vt:lpstr>QCResultValue</vt:lpstr>
      <vt:lpstr>QCTechnician</vt:lpstr>
      <vt:lpstr>QCType</vt:lpstr>
      <vt:lpstr>QualityControl</vt:lpstr>
      <vt:lpstr>ReceivedDate</vt:lpstr>
      <vt:lpstr>ReceivedTime</vt:lpstr>
      <vt:lpstr>RemoveInfrastructure</vt:lpstr>
      <vt:lpstr>ReportedDate</vt:lpstr>
      <vt:lpstr>AnalysisData!ReportName</vt:lpstr>
      <vt:lpstr>ReportName</vt:lpstr>
      <vt:lpstr>ReportSpecs</vt:lpstr>
      <vt:lpstr>Requirement.Name</vt:lpstr>
      <vt:lpstr>Requirement.SortOrder</vt:lpstr>
      <vt:lpstr>RequirementID</vt:lpstr>
      <vt:lpstr>ResultMax</vt:lpstr>
      <vt:lpstr>ResultMin</vt:lpstr>
      <vt:lpstr>ResultTypeID</vt:lpstr>
      <vt:lpstr>SampleAnalysisID</vt:lpstr>
      <vt:lpstr>SampleID</vt:lpstr>
      <vt:lpstr>Sampler</vt:lpstr>
      <vt:lpstr>SamplerID</vt:lpstr>
      <vt:lpstr>SampleStatus</vt:lpstr>
      <vt:lpstr>SampleStatusName</vt:lpstr>
      <vt:lpstr>SampleType.Name</vt:lpstr>
      <vt:lpstr>SampleTypeID</vt:lpstr>
      <vt:lpstr>AnalysisData!SSMA_TimeStamp</vt:lpstr>
      <vt:lpstr>SSMA_TimeStamp</vt:lpstr>
      <vt:lpstr>StartedDate</vt:lpstr>
      <vt:lpstr>TargetValue</vt:lpstr>
      <vt:lpstr>Technician</vt:lpstr>
      <vt:lpstr>UpdatedDate</vt:lpstr>
      <vt:lpstr>UpdatedUser</vt:lpstr>
      <vt:lpstr>AnalysisData!UserName</vt:lpstr>
      <vt:lpstr>UserName</vt:lpstr>
      <vt:lpstr>WarningMax</vt:lpstr>
      <vt:lpstr>WarningMin</vt:lpstr>
    </vt:vector>
  </TitlesOfParts>
  <Company>Mountain States Consulting,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Final Report Template</dc:title>
  <dc:subject>MSC-LIMS Template</dc:subject>
  <dc:creator>Pryscillia Yang</dc:creator>
  <cp:lastModifiedBy>Katherine Cook</cp:lastModifiedBy>
  <cp:lastPrinted>2024-10-09T22:03:16Z</cp:lastPrinted>
  <dcterms:created xsi:type="dcterms:W3CDTF">1998-10-12T22:00:25Z</dcterms:created>
  <dcterms:modified xsi:type="dcterms:W3CDTF">2024-10-15T19:26:46Z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0x01010049704E12B6AAE045B16F1BD6A59B6EDA</vt:lpwstr>
  </property>
  <property fmtid="{D5CDD505-2E9C-101B-9397-08002B2CF9AE}" pid="3" name="MediaServiceImageTags">
    <vt:lpwstr/>
  </property>
  <property fmtid="{D5CDD505-2E9C-101B-9397-08002B2CF9AE}" pid="4" name="lcf76f155ced4ddcb4097134ff3c332f">
    <vt:lpwstr/>
  </property>
  <property fmtid="{D5CDD505-2E9C-101B-9397-08002B2CF9AE}" pid="5" name="TaxCatchAll">
    <vt:lpwstr/>
  </property>
</Properties>
</file>